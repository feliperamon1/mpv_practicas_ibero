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6a1970fd0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vo" sheetId="1" r:id="R3f17eae595614745"/>
    <x:sheet xmlns:r="http://schemas.openxmlformats.org/officeDocument/2006/relationships" name="Catalogos" sheetId="2" r:id="Rd3c85251f320476d"/>
    <x:sheet xmlns:r="http://schemas.openxmlformats.org/officeDocument/2006/relationships" name="Plantilla_Editable" sheetId="3" r:id="Rbd663b8ce29f4ebf"/>
    <x:sheet xmlns:r="http://schemas.openxmlformats.org/officeDocument/2006/relationships" name="Plan_2023" sheetId="4" r:id="R263cb5bd2f3e470c"/>
    <x:sheet xmlns:r="http://schemas.openxmlformats.org/officeDocument/2006/relationships" name="Plan_2024" sheetId="5" r:id="Re76be62e660c464c"/>
    <x:sheet xmlns:r="http://schemas.openxmlformats.org/officeDocument/2006/relationships" name="Plan_2025" sheetId="6" r:id="R2e37152285fd45b2"/>
    <x:sheet xmlns:r="http://schemas.openxmlformats.org/officeDocument/2006/relationships" name="Plan_2026" sheetId="7" r:id="Rb47a2ca28f0a4025"/>
    <x:sheet xmlns:r="http://schemas.openxmlformats.org/officeDocument/2006/relationships" name="Resumen_Anual" sheetId="8" r:id="R5416645fd2b641f3"/>
    <x:sheet xmlns:r="http://schemas.openxmlformats.org/officeDocument/2006/relationships" name="Resumen_Mensual" sheetId="9" r:id="R439764b3371e42c8"/>
    <x:sheet xmlns:r="http://schemas.openxmlformats.org/officeDocument/2006/relationships" name="Dashboard" sheetId="10" r:id="R83f5112208e8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$#,##0"/>
    <x:numFmt numFmtId="202" formatCode="0.0%"/>
  </x:numFmts>
  <x:fonts count="10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5"/>
      <x:color rgb="FFFFFF"/>
      <x:name val="Carlito"/>
    </x:font>
    <x:font>
      <x:b/>
      <x:sz val="12"/>
      <x:name val="Carlito"/>
    </x:font>
    <x:font>
      <x:b/>
      <x:sz val="11"/>
      <x:color rgb="4B5563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i/>
      <x:sz val="11"/>
      <x:color rgb="374151"/>
      <x:name val="Carlito"/>
    </x:font>
    <x:font>
      <x:b/>
      <x:sz val="16"/>
      <x:color rgb="1F4E78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  <x:fill>
      <x:patternFill patternType="solid">
        <x:fgColor rgb="E6F4EA"/>
      </x:patternFill>
    </x:fill>
    <x:fill>
      <x:patternFill patternType="solid">
        <x:fgColor rgb="B9D6F2"/>
      </x:patternFill>
    </x:fill>
    <x:fill>
      <x:patternFill patternType="solid">
        <x:fgColor rgb="FCE8B2"/>
      </x:patternFill>
    </x:fill>
    <x:fill>
      <x:patternFill patternType="solid">
        <x:fgColor rgb="FFF6D6"/>
      </x:patternFill>
    </x:fill>
    <x:fill>
      <x:patternFill patternType="solid">
        <x:fgColor rgb="E8F1FB"/>
      </x:patternFill>
    </x:fill>
    <x:fill>
      <x:patternFill patternType="solid">
        <x:fgColor rgb="F3F4F6"/>
      </x:patternFill>
    </x:fill>
    <x:fill>
      <x:patternFill patternType="solid">
        <x:fgColor rgb="6A1B9A"/>
      </x:patternFill>
    </x:fill>
    <x:fill>
      <x:patternFill patternType="solid">
        <x:fgColor rgb="EFE3F7"/>
      </x:patternFill>
    </x:fill>
    <x:fill>
      <x:patternFill patternType="solid">
        <x:fgColor rgb="7E57C2"/>
      </x:patternFill>
    </x:fill>
    <x:fill>
      <x:patternFill patternType="solid">
        <x:fgColor rgb="F3F8F3"/>
      </x:patternFill>
    </x:fill>
    <x:fill>
      <x:patternFill patternType="solid">
        <x:fgColor rgb="F3F8FB"/>
      </x:patternFill>
    </x:fill>
  </x:fills>
  <x:borders count="2">
    <x:border/>
    <x:border/>
  </x:borders>
  <x:cellStyleXfs count="1">
    <x:xf numFmtId="0" fontId="0" fillId="0" borderId="0"/>
  </x:cellStyleXfs>
  <x:cellXfs count="1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horizontal="center"/>
    </x:xf>
    <x:xf numFmtId="200" fontId="5" fillId="10" borderId="0" xfId="0" applyNumberFormat="1" applyFont="1" applyFill="1" applyBorder="1" applyAlignment="1">
      <x:alignment horizontal="center"/>
    </x:xf>
    <x:xf numFmtId="200" fontId="5" fillId="10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1" fillId="11" borderId="1" xfId="0" applyNumberFormat="1" applyFont="1" applyFill="1" applyBorder="1"/>
    <x:xf numFmtId="0" fontId="1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horizontal="center" wrapText="1"/>
    </x:xf>
    <x:xf numFmtId="0" fontId="0" fillId="13" borderId="1" xfId="0" applyNumberFormat="1" applyFont="1" applyFill="1" applyBorder="1"/>
    <x:xf numFmtId="0" fontId="6" fillId="13" borderId="1" xfId="0" applyNumberFormat="1" applyFont="1" applyFill="1" applyBorder="1"/>
    <x:xf numFmtId="0" fontId="6" fillId="13" borderId="1" xfId="0" applyNumberFormat="1" applyFont="1" applyFill="1" applyBorder="1" applyAlignment="1">
      <x:alignment wrapText="1"/>
    </x:xf>
    <x:xf numFmtId="0" fontId="6" fillId="13" borderId="1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0" fillId="14" borderId="1" xfId="0" applyNumberFormat="1" applyFont="1" applyFill="1" applyBorder="1"/>
    <x:xf numFmtId="0" fontId="2" fillId="1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0" fillId="15" borderId="1" xfId="0" applyNumberFormat="1" applyFont="1" applyFill="1" applyBorder="1"/>
    <x:xf numFmtId="0" fontId="2" fillId="15" borderId="1" xfId="0" applyNumberFormat="1" applyFont="1" applyFill="1" applyBorder="1"/>
    <x:xf numFmtId="0" fontId="2" fillId="15" borderId="1" xfId="0" applyNumberFormat="1" applyFont="1" applyFill="1" applyBorder="1" applyAlignment="1">
      <x:alignment wrapText="1"/>
    </x:xf>
    <x:xf numFmtId="0" fontId="2" fillId="15" borderId="1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 vertical="center"/>
    </x:xf>
    <x:xf numFmtId="202" fontId="9" fillId="0" borderId="0" xfId="0" applyNumberFormat="1" applyFont="1" applyFill="1" applyBorder="1" applyAlignment="1">
      <x:alignment horizontal="center" vertical="center"/>
    </x:xf>
    <x:xf numFmtId="202" fontId="9" fillId="0" borderId="1" xfId="0" applyNumberFormat="1" applyFont="1" applyFill="1" applyBorder="1" applyAlignment="1">
      <x:alignment horizontal="center" vertical="center"/>
    </x:xf>
    <x:xf numFmtId="201" fontId="9" fillId="0" borderId="0" xfId="0" applyNumberFormat="1" applyFont="1" applyFill="1" applyBorder="1" applyAlignment="1">
      <x:alignment horizontal="center" vertical="center"/>
    </x:xf>
    <x:xf numFmtId="201" fontId="9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5">
    <x:dxf>
      <x:font>
        <x:b/>
        <x:color rgb="1B5E20"/>
      </x:font>
      <x:fill>
        <x:patternFill patternType="solid">
          <x:bgColor rgb="D9EAD3"/>
        </x:patternFill>
      </x:fill>
    </x:dxf>
    <x:dxf>
      <x:font>
        <x:b/>
        <x:color rgb="8A6D1D"/>
      </x:font>
      <x:fill>
        <x:patternFill patternType="solid">
          <x:bgColor rgb="FFF2CC"/>
        </x:patternFill>
      </x:fill>
    </x:dxf>
    <x:dxf>
      <x:font>
        <x:b/>
        <x:color rgb="1F4E78"/>
      </x:font>
      <x:fill>
        <x:patternFill patternType="solid">
          <x:bgColor rgb="D9EAF7"/>
        </x:patternFill>
      </x:fill>
    </x:dxf>
    <x:dxf>
      <x:font>
        <x:b/>
        <x:color rgb="9C0006"/>
      </x:font>
      <x:fill>
        <x:patternFill patternType="solid">
          <x:bgColor rgb="F4CC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  <x:dxf>
      <x:font>
        <x:b/>
        <x:color rgb="1B5E20"/>
      </x:font>
      <x:fill>
        <x:patternFill patternType="solid">
          <x:bgColor rgb="D9EAD3"/>
        </x:patternFill>
      </x:fill>
    </x:dxf>
    <x:dxf>
      <x:font>
        <x:b/>
        <x:color rgb="8A6D1D"/>
      </x:font>
      <x:fill>
        <x:patternFill patternType="solid">
          <x:bgColor rgb="FFF2CC"/>
        </x:patternFill>
      </x:fill>
    </x:dxf>
    <x:dxf>
      <x:font>
        <x:b/>
        <x:color rgb="1F4E78"/>
      </x:font>
      <x:fill>
        <x:patternFill patternType="solid">
          <x:bgColor rgb="D9EAF7"/>
        </x:patternFill>
      </x:fill>
    </x:dxf>
    <x:dxf>
      <x:font>
        <x:b/>
        <x:color rgb="9C0006"/>
      </x:font>
      <x:fill>
        <x:patternFill patternType="solid">
          <x:bgColor rgb="F4CC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  <x:dxf>
      <x:font>
        <x:b/>
        <x:color rgb="1B5E20"/>
      </x:font>
      <x:fill>
        <x:patternFill patternType="solid">
          <x:bgColor rgb="D9EAD3"/>
        </x:patternFill>
      </x:fill>
    </x:dxf>
    <x:dxf>
      <x:font>
        <x:b/>
        <x:color rgb="8A6D1D"/>
      </x:font>
      <x:fill>
        <x:patternFill patternType="solid">
          <x:bgColor rgb="FFF2CC"/>
        </x:patternFill>
      </x:fill>
    </x:dxf>
    <x:dxf>
      <x:font>
        <x:b/>
        <x:color rgb="1F4E78"/>
      </x:font>
      <x:fill>
        <x:patternFill patternType="solid">
          <x:bgColor rgb="D9EAF7"/>
        </x:patternFill>
      </x:fill>
    </x:dxf>
    <x:dxf>
      <x:font>
        <x:b/>
        <x:color rgb="9C0006"/>
      </x:font>
      <x:fill>
        <x:patternFill patternType="solid">
          <x:bgColor rgb="F4CC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  <x:dxf>
      <x:font>
        <x:b/>
        <x:color rgb="1B5E20"/>
      </x:font>
      <x:fill>
        <x:patternFill patternType="solid">
          <x:bgColor rgb="D9EAD3"/>
        </x:patternFill>
      </x:fill>
    </x:dxf>
    <x:dxf>
      <x:font>
        <x:b/>
        <x:color rgb="8A6D1D"/>
      </x:font>
      <x:fill>
        <x:patternFill patternType="solid">
          <x:bgColor rgb="FFF2CC"/>
        </x:patternFill>
      </x:fill>
    </x:dxf>
    <x:dxf>
      <x:font>
        <x:b/>
        <x:color rgb="1F4E78"/>
      </x:font>
      <x:fill>
        <x:patternFill patternType="solid">
          <x:bgColor rgb="D9EAF7"/>
        </x:patternFill>
      </x:fill>
    </x:dxf>
    <x:dxf>
      <x:font>
        <x:b/>
        <x:color rgb="9C0006"/>
      </x:font>
      <x:fill>
        <x:patternFill patternType="solid">
          <x:bgColor rgb="F4CC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  <x:dxf>
      <x:font>
        <x:b/>
        <x:color rgb="1B5E20"/>
      </x:font>
      <x:fill>
        <x:patternFill patternType="solid">
          <x:bgColor rgb="D9EAD3"/>
        </x:patternFill>
      </x:fill>
    </x:dxf>
    <x:dxf>
      <x:font>
        <x:b/>
        <x:color rgb="8A6D1D"/>
      </x:font>
      <x:fill>
        <x:patternFill patternType="solid">
          <x:bgColor rgb="FFF2CC"/>
        </x:patternFill>
      </x:fill>
    </x:dxf>
    <x:dxf>
      <x:font>
        <x:b/>
        <x:color rgb="9C0006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8366995e04383" /><Relationship Type="http://schemas.openxmlformats.org/officeDocument/2006/relationships/theme" Target="/xl/theme/theme1.xml" Id="R204d8552df1b46da" /><Relationship Type="http://schemas.openxmlformats.org/officeDocument/2006/relationships/sharedStrings" Target="/xl/sharedStrings.xml" Id="R2a91548003d941f4" /><Relationship Type="http://schemas.openxmlformats.org/officeDocument/2006/relationships/worksheet" Target="/xl/worksheets/sheet1.xml" Id="R3f17eae595614745" /><Relationship Type="http://schemas.openxmlformats.org/officeDocument/2006/relationships/worksheet" Target="/xl/worksheets/sheet2.xml" Id="Rd3c85251f320476d" /><Relationship Type="http://schemas.openxmlformats.org/officeDocument/2006/relationships/worksheet" Target="/xl/worksheets/sheet3.xml" Id="Rbd663b8ce29f4ebf" /><Relationship Type="http://schemas.openxmlformats.org/officeDocument/2006/relationships/worksheet" Target="/xl/worksheets/sheet4.xml" Id="R263cb5bd2f3e470c" /><Relationship Type="http://schemas.openxmlformats.org/officeDocument/2006/relationships/worksheet" Target="/xl/worksheets/sheet5.xml" Id="Re76be62e660c464c" /><Relationship Type="http://schemas.openxmlformats.org/officeDocument/2006/relationships/worksheet" Target="/xl/worksheets/sheet6.xml" Id="R2e37152285fd45b2" /><Relationship Type="http://schemas.openxmlformats.org/officeDocument/2006/relationships/worksheet" Target="/xl/worksheets/sheet7.xml" Id="Rb47a2ca28f0a4025" /><Relationship Type="http://schemas.openxmlformats.org/officeDocument/2006/relationships/worksheet" Target="/xl/worksheets/sheet8.xml" Id="R5416645fd2b641f3" /><Relationship Type="http://schemas.openxmlformats.org/officeDocument/2006/relationships/worksheet" Target="/xl/worksheets/sheet9.xml" Id="R439764b3371e42c8" /><Relationship Type="http://schemas.openxmlformats.org/officeDocument/2006/relationships/worksheet" Target="/xl/worksheets/sheet10.xml" Id="R83f5112208e847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38874043114689" /><Relationship Type="http://schemas.openxmlformats.org/officeDocument/2006/relationships/chart" Target="/xl/drawings/charts/chart2.xml" Id="Re235cf201dde47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Cumplimiento global por año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cumplimiento</c:v>
          </c:tx>
          <c:cat>
            <c:strRef>
              <c:f>'Dashboard'!$I$19:$I$22</c:f>
              <c:strCache>
                <c:ptCount val="0"/>
              </c:strCache>
            </c:strRef>
          </c:cat>
          <c:val>
            <c:numRef>
              <c:f>'Dashboard'!$J$19:$J$22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Programadas vs ejecutadas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Programadas</c:v>
          </c:tx>
          <c:cat>
            <c:strRef>
              <c:f>'Dashboard'!$I$26:$I$37</c:f>
              <c:strCache>
                <c:ptCount val="0"/>
              </c:strCache>
            </c:strRef>
          </c:cat>
          <c:val>
            <c:numRef>
              <c:f>'Dashboard'!$J$26:$J$37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Ejecutadas</c:v>
          </c:tx>
          <c:cat>
            <c:strRef>
              <c:f>'Dashboard'!$I$26:$I$37</c:f>
              <c:strCache>
                <c:ptCount val="0"/>
              </c:strCache>
            </c:strRef>
          </c:cat>
          <c:val>
            <c:numRef>
              <c:f>'Dashboard'!$K$26:$K$37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3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38874043114689"/>
        </a:graphicData>
      </a:graphic>
    </xdr:graphicFrame>
    <xdr:clientData/>
  </xdr:twoCellAnchor>
  <xdr:twoCellAnchor>
    <xdr:from>
      <xdr:col>13</xdr:col>
      <xdr:colOff>0</xdr:colOff>
      <xdr:row>18</xdr:row>
      <xdr:rowOff>0</xdr:rowOff>
    </xdr:from>
    <xdr:to>
      <xdr:col>22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35cf201dde476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lan2023Table" displayName="Plan2023Table" ref="A6:AE38" headerRowCount="1">
  <x:tableColumns count="31">
    <x:tableColumn id="1" name="Código"/>
    <x:tableColumn id="2" name="Año"/>
    <x:tableColumn id="3" name="Sede/Cobertura"/>
    <x:tableColumn id="4" name="Ciclo PHVA"/>
    <x:tableColumn id="5" name="Componente SG-SST"/>
    <x:tableColumn id="6" name="Estándar / Requisito"/>
    <x:tableColumn id="7" name="Actividad"/>
    <x:tableColumn id="8" name="Objetivo"/>
    <x:tableColumn id="9" name="Meta"/>
    <x:tableColumn id="10" name="Indicador"/>
    <x:tableColumn id="11" name="Frecuencia"/>
    <x:tableColumn id="12" name="Responsable"/>
    <x:tableColumn id="13" name="Rec. humanos (HH)"/>
    <x:tableColumn id="14" name="Rec. financieros estimados (COP)"/>
    <x:tableColumn id="15" name="Rec. tecnológicos"/>
    <x:tableColumn id="16" name="Ene"/>
    <x:tableColumn id="17" name="Feb"/>
    <x:tableColumn id="18" name="Mar"/>
    <x:tableColumn id="19" name="Abr"/>
    <x:tableColumn id="20" name="May"/>
    <x:tableColumn id="21" name="Jun"/>
    <x:tableColumn id="22" name="Jul"/>
    <x:tableColumn id="23" name="Ago"/>
    <x:tableColumn id="24" name="Sep"/>
    <x:tableColumn id="25" name="Oct"/>
    <x:tableColumn id="26" name="Nov"/>
    <x:tableColumn id="27" name="Dic"/>
    <x:tableColumn id="28" name="Programadas a corte"/>
    <x:tableColumn id="29" name="Ejecutadas a corte"/>
    <x:tableColumn id="30" name="% Cumplimiento a corte"/>
    <x:tableColumn id="31" name="Estado general"/>
  </x:tableColumns>
  <x:tableStyleInfo name="TableStyleMedium2" showRowStripes="1"/>
</x:table>
</file>

<file path=xl/tables/table2.xml><?xml version="1.0" encoding="utf-8"?>
<x:table xmlns:x="http://schemas.openxmlformats.org/spreadsheetml/2006/main" id="2" name="Plan2024Table" displayName="Plan2024Table" ref="A6:AE38" headerRowCount="1">
  <x:tableColumns count="31">
    <x:tableColumn id="1" name="Código"/>
    <x:tableColumn id="2" name="Año"/>
    <x:tableColumn id="3" name="Sede/Cobertura"/>
    <x:tableColumn id="4" name="Ciclo PHVA"/>
    <x:tableColumn id="5" name="Componente SG-SST"/>
    <x:tableColumn id="6" name="Estándar / Requisito"/>
    <x:tableColumn id="7" name="Actividad"/>
    <x:tableColumn id="8" name="Objetivo"/>
    <x:tableColumn id="9" name="Meta"/>
    <x:tableColumn id="10" name="Indicador"/>
    <x:tableColumn id="11" name="Frecuencia"/>
    <x:tableColumn id="12" name="Responsable"/>
    <x:tableColumn id="13" name="Rec. humanos (HH)"/>
    <x:tableColumn id="14" name="Rec. financieros estimados (COP)"/>
    <x:tableColumn id="15" name="Rec. tecnológicos"/>
    <x:tableColumn id="16" name="Ene"/>
    <x:tableColumn id="17" name="Feb"/>
    <x:tableColumn id="18" name="Mar"/>
    <x:tableColumn id="19" name="Abr"/>
    <x:tableColumn id="20" name="May"/>
    <x:tableColumn id="21" name="Jun"/>
    <x:tableColumn id="22" name="Jul"/>
    <x:tableColumn id="23" name="Ago"/>
    <x:tableColumn id="24" name="Sep"/>
    <x:tableColumn id="25" name="Oct"/>
    <x:tableColumn id="26" name="Nov"/>
    <x:tableColumn id="27" name="Dic"/>
    <x:tableColumn id="28" name="Programadas a corte"/>
    <x:tableColumn id="29" name="Ejecutadas a corte"/>
    <x:tableColumn id="30" name="% Cumplimiento a corte"/>
    <x:tableColumn id="31" name="Estado general"/>
  </x:tableColumns>
  <x:tableStyleInfo name="TableStyleMedium2" showRowStripes="1"/>
</x:table>
</file>

<file path=xl/tables/table3.xml><?xml version="1.0" encoding="utf-8"?>
<x:table xmlns:x="http://schemas.openxmlformats.org/spreadsheetml/2006/main" id="3" name="Plan2025Table" displayName="Plan2025Table" ref="A6:AE38" headerRowCount="1">
  <x:tableColumns count="31">
    <x:tableColumn id="1" name="Código"/>
    <x:tableColumn id="2" name="Año"/>
    <x:tableColumn id="3" name="Sede/Cobertura"/>
    <x:tableColumn id="4" name="Ciclo PHVA"/>
    <x:tableColumn id="5" name="Componente SG-SST"/>
    <x:tableColumn id="6" name="Estándar / Requisito"/>
    <x:tableColumn id="7" name="Actividad"/>
    <x:tableColumn id="8" name="Objetivo"/>
    <x:tableColumn id="9" name="Meta"/>
    <x:tableColumn id="10" name="Indicador"/>
    <x:tableColumn id="11" name="Frecuencia"/>
    <x:tableColumn id="12" name="Responsable"/>
    <x:tableColumn id="13" name="Rec. humanos (HH)"/>
    <x:tableColumn id="14" name="Rec. financieros estimados (COP)"/>
    <x:tableColumn id="15" name="Rec. tecnológicos"/>
    <x:tableColumn id="16" name="Ene"/>
    <x:tableColumn id="17" name="Feb"/>
    <x:tableColumn id="18" name="Mar"/>
    <x:tableColumn id="19" name="Abr"/>
    <x:tableColumn id="20" name="May"/>
    <x:tableColumn id="21" name="Jun"/>
    <x:tableColumn id="22" name="Jul"/>
    <x:tableColumn id="23" name="Ago"/>
    <x:tableColumn id="24" name="Sep"/>
    <x:tableColumn id="25" name="Oct"/>
    <x:tableColumn id="26" name="Nov"/>
    <x:tableColumn id="27" name="Dic"/>
    <x:tableColumn id="28" name="Programadas a corte"/>
    <x:tableColumn id="29" name="Ejecutadas a corte"/>
    <x:tableColumn id="30" name="% Cumplimiento a corte"/>
    <x:tableColumn id="31" name="Estado general"/>
  </x:tableColumns>
  <x:tableStyleInfo name="TableStyleMedium2" showRowStripes="1"/>
</x:table>
</file>

<file path=xl/tables/table4.xml><?xml version="1.0" encoding="utf-8"?>
<x:table xmlns:x="http://schemas.openxmlformats.org/spreadsheetml/2006/main" id="4" name="Plan2026Table" displayName="Plan2026Table" ref="A6:AE38" headerRowCount="1">
  <x:tableColumns count="31">
    <x:tableColumn id="1" name="Código"/>
    <x:tableColumn id="2" name="Año"/>
    <x:tableColumn id="3" name="Sede/Cobertura"/>
    <x:tableColumn id="4" name="Ciclo PHVA"/>
    <x:tableColumn id="5" name="Componente SG-SST"/>
    <x:tableColumn id="6" name="Estándar / Requisito"/>
    <x:tableColumn id="7" name="Actividad"/>
    <x:tableColumn id="8" name="Objetivo"/>
    <x:tableColumn id="9" name="Meta"/>
    <x:tableColumn id="10" name="Indicador"/>
    <x:tableColumn id="11" name="Frecuencia"/>
    <x:tableColumn id="12" name="Responsable"/>
    <x:tableColumn id="13" name="Rec. humanos (HH)"/>
    <x:tableColumn id="14" name="Rec. financieros estimados (COP)"/>
    <x:tableColumn id="15" name="Rec. tecnológicos"/>
    <x:tableColumn id="16" name="Ene"/>
    <x:tableColumn id="17" name="Feb"/>
    <x:tableColumn id="18" name="Mar"/>
    <x:tableColumn id="19" name="Abr"/>
    <x:tableColumn id="20" name="May"/>
    <x:tableColumn id="21" name="Jun"/>
    <x:tableColumn id="22" name="Jul"/>
    <x:tableColumn id="23" name="Ago"/>
    <x:tableColumn id="24" name="Sep"/>
    <x:tableColumn id="25" name="Oct"/>
    <x:tableColumn id="26" name="Nov"/>
    <x:tableColumn id="27" name="Dic"/>
    <x:tableColumn id="28" name="Programadas a corte"/>
    <x:tableColumn id="29" name="Ejecutadas a corte"/>
    <x:tableColumn id="30" name="% Cumplimiento a corte"/>
    <x:tableColumn id="31" name="Estado gener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c47600631ad54b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79c4ff36fd0d46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e01c32d8128446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756a57148a544a9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637327ebefbf45a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5" hidden="0" customWidth="1"/>
    <x:col min="3" max="3" width="90" hidden="0" customWidth="1"/>
  </x:cols>
  <x:sheetData>
    <x:row r="1" ht="28" customHeight="1">
      <x:c r="A1" s="18" t="str">
        <x:v>Formato – Plan Anual de Trabajo SG-SST (PHVA) 2023-2026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3">
      <x:c r="A3" s="27" t="str">
        <x:v>Objetivo del formato</x:v>
      </x:c>
      <x:c r="B3" s="28" t="str">
        <x:v>Planear, programar, ejecutar y controlar las actividades del SG-SST por ciclo PHVA, identificando metas, responsables, recursos y cronograma mensual, en coherencia con el Decreto 1072 de 2015 y la Resolución 0312 de 2019.</x:v>
      </x:c>
    </x:row>
    <x:row r="4">
      <x:c r="A4" s="27" t="str">
        <x:v>Cómo está organizado</x:v>
      </x:c>
      <x:c r="B4" s="28" t="str">
        <x:v>El archivo incluye una plantilla editable, cuatro años simulados (2023, 2024, 2025 y 2026), un resumen anual, un resumen mensual y un dashboard ejecutivo.</x:v>
      </x:c>
    </x:row>
    <x:row r="5">
      <x:c r="A5" s="27" t="str">
        <x:v>Estructura mínima incorporada</x:v>
      </x:c>
      <x:c r="B5" s="28" t="str">
        <x:v>Código, año, sede/cobertura, ciclo PHVA, componente, estándar/requisito, actividad, objetivo, meta, indicador, frecuencia, responsable, recursos humanos, recursos financieros, recursos tecnológicos, cronograma mensual y fórmulas automáticas de cumplimiento.</x:v>
      </x:c>
    </x:row>
    <x:row r="6">
      <x:c r="A6" s="27" t="str">
        <x:v>Criterio de cumplimiento</x:v>
      </x:c>
      <x:c r="B6" s="28" t="str">
        <x:v>El % de cumplimiento a corte se calcula como actividades/meses ejecutados ÷ actividades/meses programados hasta el mes de corte del año. Para 2023-2025 el corte es diciembre; para 2026 el corte está configurado a mayo para simular avance real del año.</x:v>
      </x:c>
    </x:row>
    <x:row r="7">
      <x:c r="A7" s="27" t="str">
        <x:v>Escala de lectura</x:v>
      </x:c>
      <x:c r="B7" s="28" t="str">
        <x:v>Cumplida = 100%; Cumplida con ajustes = entre 80% y 99%; En ejecución = entre 1% y 79%; Pendiente = 0%.</x:v>
      </x:c>
    </x:row>
    <x:row r="8">
      <x:c r="A8" s="27" t="str">
        <x:v>Notas de simulación</x:v>
      </x:c>
      <x:c r="B8" s="28" t="str">
        <x:v>Los datos de 2023, 2024 y 2025 se simularon con alto nivel de ejecución anual. El año 2026 se dejó con avance realista a corte de mayo y meses futuros en estado Planeado.</x:v>
      </x:c>
    </x:row>
    <x:row r="10">
      <x:c r="A10" s="31" t="str">
        <x:v>Soporte normativo y fuentes oficiales</x:v>
      </x:c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</x:row>
    <x:row r="11">
      <x:c r="A11" s="34" t="str">
        <x:v>Norma / fuente</x:v>
      </x:c>
      <x:c r="B11" s="34" t="str">
        <x:v>Aspecto aplicado en el formato</x:v>
      </x:c>
      <x:c r="C11" s="34" t="str">
        <x:v>URL oficial</x:v>
      </x:c>
    </x:row>
    <x:row r="12">
      <x:c r="A12" s="28" t="str">
        <x:v>Decreto 1072 de 2015 – SG-SST</x:v>
      </x:c>
      <x:c r="B12" s="28" t="str">
        <x:v>Plan de trabajo anual, metas, responsabilidades, recursos y cronograma.</x:v>
      </x:c>
      <x:c r="C12" s="28" t="str">
        <x:v>https://www.funcionpublica.gov.co/eva/gestornormativo/norma.php?i=72173</x:v>
      </x:c>
    </x:row>
    <x:row r="13">
      <x:c r="A13" s="28" t="str">
        <x:v>Resolución 0312 de 2019</x:v>
      </x:c>
      <x:c r="B13" s="28" t="str">
        <x:v>Estándares mínimos del SG-SST para estructurar actividades y componentes.</x:v>
      </x:c>
      <x:c r="C13" s="28" t="str">
        <x:v>https://www.mintrabajo.gov.co/documents/20147/59995826/Resolucion%2B0312-2019-%2BEstandares%2Bminimos%2Bdel%2BSistema%2Bde%2Bla%2BSeguridad%2By%2BSalud.pdf</x:v>
      </x:c>
    </x:row>
    <x:row r="15">
      <x:c r="A15" s="38" t="str">
        <x:v>Recomendaciones de uso</x:v>
      </x:c>
      <x:c r="B15" s="38"/>
      <x:c r="C15" s="38"/>
      <x:c r="D15" s="38"/>
      <x:c r="E15" s="38"/>
      <x:c r="F15" s="38"/>
      <x:c r="G15" s="38"/>
      <x:c r="H15" s="38"/>
    </x:row>
    <x:row r="16">
      <x:c r="A16" s="42" t="str">
        <x:v>1</x:v>
      </x:c>
      <x:c r="B16" s="14" t="str">
        <x:v>No combinar celdas en la base de datos editable si se usará en Looker Studio.</x:v>
      </x:c>
    </x:row>
    <x:row r="17">
      <x:c r="A17" s="42" t="str">
        <x:v>2</x:v>
      </x:c>
      <x:c r="B17" s="14" t="str">
        <x:v>Usar las listas desplegables de estado mensual, PHVA, frecuencia y sede para preservar calidad del dato.</x:v>
      </x:c>
    </x:row>
    <x:row r="18">
      <x:c r="A18" s="42" t="str">
        <x:v>3</x:v>
      </x:c>
      <x:c r="B18" s="14" t="str">
        <x:v>Actualizar el mes de corte en la parte superior de cada hoja anual cuando se use con datos reales.</x:v>
      </x:c>
    </x:row>
    <x:row r="19">
      <x:c r="A19" s="42" t="str">
        <x:v>4</x:v>
      </x:c>
      <x:c r="B19" s="14" t="str">
        <x:v>Asignar presupuesto y recursos por actividad para facilitar trazabilidad y rendición de cuentas.</x:v>
      </x:c>
    </x:row>
    <x:row r="20">
      <x:c r="A20" s="42" t="str">
        <x:v>5</x:v>
      </x:c>
      <x:c r="B20" s="14" t="str">
        <x:v>Conservar evidencias asociadas en la carpeta documental del SG-SST con nomenclatura consistente.</x:v>
      </x:c>
    </x:row>
  </x:sheetData>
  <x:mergeCells>
    <x:mergeCell ref="A1:L1"/>
    <x:mergeCell ref="A10:L10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0.970001220703125" hidden="0" customWidth="1"/>
    <x:col min="3" max="3" width="8.880000114440918" hidden="0" customWidth="1"/>
    <x:col min="5" max="5" width="8.75" hidden="0" customWidth="1"/>
    <x:col min="7" max="7" width="13.859999656677246" hidden="0" customWidth="1"/>
    <x:col min="9" max="9" width="25.84000015258789" hidden="0" customWidth="1"/>
    <x:col min="11" max="11" width="19.3799991607666" hidden="0" customWidth="1"/>
  </x:cols>
  <x:sheetData>
    <x:row r="1" ht="24" customHeight="1">
      <x:c r="A1" s="5" t="str">
        <x:v>Catálogos de apoyo – Plan Anual de Trabajo SG-SST (PHVA)</x:v>
      </x:c>
      <x:c r="B1" s="5"/>
      <x:c r="C1" s="5"/>
      <x:c r="D1" s="5"/>
      <x:c r="E1" s="5"/>
      <x:c r="F1" s="5"/>
      <x:c r="G1" s="5"/>
      <x:c r="H1" s="5"/>
    </x:row>
    <x:row r="3">
      <x:c r="A3" s="11" t="str">
        <x:v>Estado mensual</x:v>
      </x:c>
      <x:c r="C3" s="11" t="str">
        <x:v>Ciclo PHVA</x:v>
      </x:c>
      <x:c r="E3" s="11" t="str">
        <x:v>Frecuencia</x:v>
      </x:c>
      <x:c r="G3" s="11" t="str">
        <x:v>Sede / Cobertura</x:v>
      </x:c>
      <x:c r="I3" s="11" t="str">
        <x:v>Responsables</x:v>
      </x:c>
      <x:c r="K3" s="11" t="str">
        <x:v>Componentes SG-SST</x:v>
      </x:c>
    </x:row>
    <x:row r="4">
      <x:c r="A4" s="14" t="str">
        <x:v>Planeado</x:v>
      </x:c>
      <x:c r="C4" s="14" t="str">
        <x:v>Planear</x:v>
      </x:c>
      <x:c r="E4" s="14" t="str">
        <x:v>Mensual</x:v>
      </x:c>
      <x:c r="G4" s="14" t="str">
        <x:v>Todas las sedes</x:v>
      </x:c>
      <x:c r="I4" s="14" t="str">
        <x:v>Gerencia / Líder SST</x:v>
      </x:c>
      <x:c r="K4" s="14" t="str">
        <x:v>Política SST</x:v>
      </x:c>
    </x:row>
    <x:row r="5">
      <x:c r="A5" s="14" t="str">
        <x:v>Ejecutado</x:v>
      </x:c>
      <x:c r="C5" s="14" t="str">
        <x:v>Hacer</x:v>
      </x:c>
      <x:c r="E5" s="14" t="str">
        <x:v>Bimestral</x:v>
      </x:c>
      <x:c r="G5" s="14" t="str">
        <x:v>Cúcuta</x:v>
      </x:c>
      <x:c r="I5" s="14" t="str">
        <x:v>Gerencia / Financiera / Líder SST</x:v>
      </x:c>
      <x:c r="K5" s="14" t="str">
        <x:v>Objetivos e indicadores</x:v>
      </x:c>
    </x:row>
    <x:row r="6">
      <x:c r="A6" s="14" t="str">
        <x:v>Reprogramado</x:v>
      </x:c>
      <x:c r="C6" s="14" t="str">
        <x:v>Verificar</x:v>
      </x:c>
      <x:c r="E6" s="14" t="str">
        <x:v>Trimestral</x:v>
      </x:c>
      <x:c r="G6" s="14" t="str">
        <x:v>Barrancabermeja</x:v>
      </x:c>
      <x:c r="I6" s="14" t="str">
        <x:v>Líder SST</x:v>
      </x:c>
      <x:c r="K6" s="14" t="str">
        <x:v>Recursos</x:v>
      </x:c>
    </x:row>
    <x:row r="7">
      <x:c r="A7" s="14" t="str">
        <x:v>Cancelado</x:v>
      </x:c>
      <x:c r="C7" s="14" t="str">
        <x:v>Actuar</x:v>
      </x:c>
      <x:c r="E7" s="14" t="str">
        <x:v>Semestral</x:v>
      </x:c>
      <x:c r="G7" s="14" t="str">
        <x:v>Ocaña</x:v>
      </x:c>
      <x:c r="I7" s="14" t="str">
        <x:v>Líder SST / Gerencia</x:v>
      </x:c>
      <x:c r="K7" s="14" t="str">
        <x:v>Evaluación inicial</x:v>
      </x:c>
    </x:row>
    <x:row r="8">
      <x:c r="E8" s="14" t="str">
        <x:v>Anual</x:v>
      </x:c>
      <x:c r="G8" s="14" t="str">
        <x:v>Girón</x:v>
      </x:c>
      <x:c r="I8" s="14" t="str">
        <x:v>Líder SST / Jurídica</x:v>
      </x:c>
      <x:c r="K8" s="14" t="str">
        <x:v>Planificación anual</x:v>
      </x:c>
    </x:row>
    <x:row r="9">
      <x:c r="E9" s="14" t="str">
        <x:v>Eventual</x:v>
      </x:c>
      <x:c r="G9" s="14" t="str">
        <x:v>Valledupar</x:v>
      </x:c>
      <x:c r="I9" s="14" t="str">
        <x:v>Líder SST / Talento Humano</x:v>
      </x:c>
      <x:c r="K9" s="14" t="str">
        <x:v>Requisitos legales</x:v>
      </x:c>
    </x:row>
    <x:row r="10">
      <x:c r="G10" s="14" t="str">
        <x:v>Arauca</x:v>
      </x:c>
      <x:c r="I10" s="14" t="str">
        <x:v>Líder SST / Brigada</x:v>
      </x:c>
      <x:c r="K10" s="14" t="str">
        <x:v>Capacitación</x:v>
      </x:c>
    </x:row>
    <x:row r="11">
      <x:c r="G11" s="14" t="str">
        <x:v>Bogotá</x:v>
      </x:c>
      <x:c r="I11" s="14" t="str">
        <x:v>Líder SST / Compras</x:v>
      </x:c>
      <x:c r="K11" s="14" t="str">
        <x:v>Participación</x:v>
      </x:c>
    </x:row>
    <x:row r="12">
      <x:c r="G12" s="14" t="str">
        <x:v>Tibú</x:v>
      </x:c>
      <x:c r="I12" s="14" t="str">
        <x:v>Talento Humano / SST</x:v>
      </x:c>
      <x:c r="K12" s="14" t="str">
        <x:v>Emergencias</x:v>
      </x:c>
    </x:row>
    <x:row r="13">
      <x:c r="G13" s="14" t="str">
        <x:v>Medellín</x:v>
      </x:c>
      <x:c r="I13" s="14" t="str">
        <x:v>SST / Jefes de área</x:v>
      </x:c>
      <x:c r="K13" s="14" t="str">
        <x:v>Contratistas</x:v>
      </x:c>
    </x:row>
    <x:row r="14">
      <x:c r="G14" s="14" t="str">
        <x:v>Ábrego</x:v>
      </x:c>
      <x:c r="I14" s="14" t="str">
        <x:v>COPASST / SST</x:v>
      </x:c>
      <x:c r="K14" s="14" t="str">
        <x:v>Inspecciones</x:v>
      </x:c>
    </x:row>
    <x:row r="15">
      <x:c r="G15" s="14" t="str">
        <x:v>Pamplona</x:v>
      </x:c>
      <x:c r="I15" s="14" t="str">
        <x:v>Brigada / SST</x:v>
      </x:c>
      <x:c r="K15" s="14" t="str">
        <x:v>Medicina del trabajo</x:v>
      </x:c>
    </x:row>
    <x:row r="16">
      <x:c r="I16" s="14" t="str">
        <x:v>Talento Humano / SST</x:v>
      </x:c>
      <x:c r="K16" s="14" t="str">
        <x:v>Peligros y riesgos</x:v>
      </x:c>
    </x:row>
    <x:row r="17">
      <x:c r="I17" s="14" t="str">
        <x:v>SST / Líderes de proceso</x:v>
      </x:c>
      <x:c r="K17" s="14" t="str">
        <x:v>EPP</x:v>
      </x:c>
    </x:row>
    <x:row r="18">
      <x:c r="I18" s="14" t="str">
        <x:v>Almacén / SST</x:v>
      </x:c>
      <x:c r="K18" s="14" t="str">
        <x:v>Eventos</x:v>
      </x:c>
    </x:row>
    <x:row r="19">
      <x:c r="I19" s="14" t="str">
        <x:v>Compras / SST</x:v>
      </x:c>
      <x:c r="K19" s="14" t="str">
        <x:v>Promoción y prevención</x:v>
      </x:c>
    </x:row>
    <x:row r="20">
      <x:c r="I20" s="14" t="str">
        <x:v>SST / Mantenimiento</x:v>
      </x:c>
      <x:c r="K20" s="14" t="str">
        <x:v>Psicosocial</x:v>
      </x:c>
    </x:row>
    <x:row r="21">
      <x:c r="I21" s="14" t="str">
        <x:v>SST / Jefes inmediatos</x:v>
      </x:c>
      <x:c r="K21" s="14" t="str">
        <x:v>Infraestructura</x:v>
      </x:c>
    </x:row>
    <x:row r="22">
      <x:c r="I22" s="14" t="str">
        <x:v>SST / Bienestar</x:v>
      </x:c>
      <x:c r="K22" s="14" t="str">
        <x:v>Indicadores</x:v>
      </x:c>
    </x:row>
    <x:row r="23">
      <x:c r="I23" s="14" t="str">
        <x:v>SST / Talento Humano</x:v>
      </x:c>
      <x:c r="K23" s="14" t="str">
        <x:v>Auditoría</x:v>
      </x:c>
    </x:row>
    <x:row r="24">
      <x:c r="I24" s="14" t="str">
        <x:v>Mantenimiento / SST</x:v>
      </x:c>
      <x:c r="K24" s="14" t="str">
        <x:v>Mejora continua</x:v>
      </x:c>
    </x:row>
    <x:row r="25">
      <x:c r="I25" s="14" t="str">
        <x:v>SST / Gerencia</x:v>
      </x:c>
      <x:c r="K25" s="14" t="str">
        <x:v>Dirección</x:v>
      </x:c>
    </x:row>
    <x:row r="26">
      <x:c r="I26" s="14" t="str">
        <x:v>Auditor interno / SST</x:v>
      </x:c>
      <x:c r="K26" s="14" t="str">
        <x:v>Documentación</x:v>
      </x:c>
    </x:row>
    <x:row r="27">
      <x:c r="I27" s="14" t="str">
        <x:v>SST / Responsables de proceso</x:v>
      </x:c>
    </x:row>
    <x:row r="28">
      <x:c r="I28" s="14" t="str">
        <x:v>Gerencia / SST</x:v>
      </x:c>
    </x:row>
    <x:row r="29">
      <x:c r="I29" s="14" t="str">
        <x:v>SST / Calidad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8" hidden="0" customWidth="1"/>
    <x:col min="4" max="4" width="12" hidden="0" customWidth="1"/>
    <x:col min="5" max="5" width="18" hidden="0" customWidth="1"/>
    <x:col min="6" max="6" width="18" hidden="0" customWidth="1"/>
    <x:col min="7" max="7" width="28" hidden="0" customWidth="1"/>
    <x:col min="8" max="8" width="30" hidden="0" customWidth="1"/>
    <x:col min="9" max="9" width="22" hidden="0" customWidth="1"/>
    <x:col min="10" max="10" width="22" hidden="0" customWidth="1"/>
    <x:col min="11" max="11" width="11" hidden="0" customWidth="1"/>
    <x:col min="12" max="12" width="20" hidden="0" customWidth="1"/>
    <x:col min="13" max="13" width="13" hidden="0" customWidth="1"/>
    <x:col min="14" max="14" width="16" hidden="0" customWidth="1"/>
    <x:col min="15" max="15" width="22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4" hidden="0" customWidth="1"/>
    <x:col min="29" max="29" width="14" hidden="0" customWidth="1"/>
    <x:col min="30" max="30" width="14" hidden="0" customWidth="1"/>
    <x:col min="31" max="31" width="18" hidden="0" customWidth="1"/>
  </x:cols>
  <x:sheetData>
    <x:row r="1" ht="24" customHeight="1">
      <x:c r="A1" s="81" t="str">
        <x:v>Plantilla editable – Plan Anual de Trabajo SG-SST (PHVA)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  <x:c r="AA1" s="81"/>
      <x:c r="AB1" s="81"/>
      <x:c r="AC1" s="81"/>
      <x:c r="AD1" s="81"/>
      <x:c r="AE1" s="81"/>
    </x:row>
    <x:row r="2">
      <x:c r="A2" s="86" t="str">
        <x:v>Año</x:v>
      </x:c>
      <x:c r="B2" s="28" t="n">
        <x:v>2026</x:v>
      </x:c>
      <x:c r="C2" s="86" t="str">
        <x:v>Mes de corte</x:v>
      </x:c>
      <x:c r="D2" s="28" t="n">
        <x:v>12</x:v>
      </x:c>
      <x:c r="E2" s="86" t="str">
        <x:v>Uso</x:v>
      </x:c>
      <x:c r="F2" s="28" t="str">
        <x:v>Diligencie los campos blancos y seleccione estados mensuales según el cronograma.</x:v>
      </x:c>
    </x:row>
    <x:row r="3">
      <x:c r="A3" s="86" t="str">
        <x:v>Nota</x:v>
      </x:c>
      <x:c r="B3" s="28" t="str">
        <x:v>Los meses no programados deben quedar en blanco.</x:v>
      </x:c>
      <x:c r="C3" s="86" t="str">
        <x:v>Fórmula</x:v>
      </x:c>
      <x:c r="D3" s="28" t="str">
        <x:v>Las columnas AB:AE se calculan automáticamente.</x:v>
      </x:c>
      <x:c r="E3" s="86" t="str">
        <x:v>Consejo</x:v>
      </x:c>
      <x:c r="F3" s="28" t="str">
        <x:v>Use catálogos y no cambie los encabezados si desea usar BI.</x:v>
      </x:c>
    </x:row>
    <x:row r="5">
      <x:c r="P5" t="n">
        <x:v>1</x:v>
      </x:c>
      <x:c r="Q5" t="n">
        <x:v>2</x:v>
      </x:c>
      <x:c r="R5" t="n">
        <x:v>3</x:v>
      </x:c>
      <x:c r="S5" t="n">
        <x:v>4</x:v>
      </x:c>
      <x:c r="T5" t="n">
        <x:v>5</x:v>
      </x:c>
      <x:c r="U5" t="n">
        <x:v>6</x:v>
      </x:c>
      <x:c r="V5" t="n">
        <x:v>7</x:v>
      </x:c>
      <x:c r="W5" t="n">
        <x:v>8</x:v>
      </x:c>
      <x:c r="X5" t="n">
        <x:v>9</x:v>
      </x:c>
      <x:c r="Y5" t="n">
        <x:v>10</x:v>
      </x:c>
      <x:c r="Z5" t="n">
        <x:v>11</x:v>
      </x:c>
      <x:c r="AA5" t="n">
        <x:v>12</x:v>
      </x:c>
    </x:row>
    <x:row r="6" ht="36" customHeight="1">
      <x:c r="A6" s="92" t="str">
        <x:v>Código</x:v>
      </x:c>
      <x:c r="B6" s="92" t="str">
        <x:v>Año</x:v>
      </x:c>
      <x:c r="C6" s="92" t="str">
        <x:v>Sede/Cobertura</x:v>
      </x:c>
      <x:c r="D6" s="92" t="str">
        <x:v>Ciclo PHVA</x:v>
      </x:c>
      <x:c r="E6" s="92" t="str">
        <x:v>Componente SG-SST</x:v>
      </x:c>
      <x:c r="F6" s="92" t="str">
        <x:v>Estándar / Requisito</x:v>
      </x:c>
      <x:c r="G6" s="92" t="str">
        <x:v>Actividad</x:v>
      </x:c>
      <x:c r="H6" s="92" t="str">
        <x:v>Objetivo</x:v>
      </x:c>
      <x:c r="I6" s="92" t="str">
        <x:v>Meta</x:v>
      </x:c>
      <x:c r="J6" s="92" t="str">
        <x:v>Indicador</x:v>
      </x:c>
      <x:c r="K6" s="92" t="str">
        <x:v>Frecuencia</x:v>
      </x:c>
      <x:c r="L6" s="92" t="str">
        <x:v>Responsable</x:v>
      </x:c>
      <x:c r="M6" s="92" t="str">
        <x:v>Rec. humanos (HH)</x:v>
      </x:c>
      <x:c r="N6" s="92" t="str">
        <x:v>Rec. financieros estimados (COP)</x:v>
      </x:c>
      <x:c r="O6" s="92" t="str">
        <x:v>Rec. tecnológicos</x:v>
      </x:c>
      <x:c r="P6" s="92" t="str">
        <x:v>Ene</x:v>
      </x:c>
      <x:c r="Q6" s="92" t="str">
        <x:v>Feb</x:v>
      </x:c>
      <x:c r="R6" s="92" t="str">
        <x:v>Mar</x:v>
      </x:c>
      <x:c r="S6" s="92" t="str">
        <x:v>Abr</x:v>
      </x:c>
      <x:c r="T6" s="92" t="str">
        <x:v>May</x:v>
      </x:c>
      <x:c r="U6" s="92" t="str">
        <x:v>Jun</x:v>
      </x:c>
      <x:c r="V6" s="92" t="str">
        <x:v>Jul</x:v>
      </x:c>
      <x:c r="W6" s="92" t="str">
        <x:v>Ago</x:v>
      </x:c>
      <x:c r="X6" s="92" t="str">
        <x:v>Sep</x:v>
      </x:c>
      <x:c r="Y6" s="92" t="str">
        <x:v>Oct</x:v>
      </x:c>
      <x:c r="Z6" s="92" t="str">
        <x:v>Nov</x:v>
      </x:c>
      <x:c r="AA6" s="92" t="str">
        <x:v>Dic</x:v>
      </x:c>
      <x:c r="AB6" s="92" t="str">
        <x:v>Programadas a corte</x:v>
      </x:c>
      <x:c r="AC6" s="92" t="str">
        <x:v>Ejecutadas a corte</x:v>
      </x:c>
      <x:c r="AD6" s="92" t="str">
        <x:v>% Cumplimiento a corte</x:v>
      </x:c>
      <x:c r="AE6" s="92" t="str">
        <x:v>Estado general</x:v>
      </x:c>
    </x:row>
    <x:row r="7" ht="20" customHeight="1">
      <x:c r="A7" s="28" t="str"/>
      <x:c r="B7" s="28" t="n">
        <x:v>2026</x:v>
      </x:c>
      <x:c r="C7" s="28" t="str"/>
      <x:c r="D7" s="28" t="str"/>
      <x:c r="E7" s="28" t="str"/>
      <x:c r="F7" s="28" t="str"/>
      <x:c r="G7" s="28" t="str"/>
      <x:c r="H7" s="28" t="str"/>
      <x:c r="I7" s="28" t="str"/>
      <x:c r="J7" s="28" t="str"/>
      <x:c r="K7" s="28" t="str"/>
      <x:c r="L7" s="28" t="str"/>
      <x:c r="M7" s="28" t="str"/>
      <x:c r="N7" s="74" t="str"/>
      <x:c r="O7" s="28" t="str"/>
      <x:c r="P7" s="28" t="str"/>
      <x:c r="Q7" s="28" t="str"/>
      <x:c r="R7" s="28" t="str"/>
      <x:c r="S7" s="28" t="str"/>
      <x:c r="T7" s="28" t="str"/>
      <x:c r="U7" s="28" t="str"/>
      <x:c r="V7" s="28" t="str"/>
      <x:c r="W7" s="28" t="str"/>
      <x:c r="X7" s="28" t="str"/>
      <x:c r="Y7" s="28" t="str"/>
      <x:c r="Z7" s="28" t="str"/>
      <x:c r="AA7" s="28" t="str"/>
      <x:c r="AB7" s="28" t="n">
        <x:f>SUMPRODUCT(--(P7:AA7&lt;&gt;""),--(P$5:AA$5&lt;=$D$2))</x:f>
        <x:v>0</x:v>
      </x:c>
      <x:c r="AC7" s="28" t="n">
        <x:f>SUMPRODUCT(--(P7:AA7="Ejecutado"),--(P$5:AA$5&lt;=$D$2))</x:f>
        <x:v>0</x:v>
      </x:c>
      <x:c r="AD7" s="75" t="n">
        <x:f>IF(AB7=0,0,AC7/AB7)</x:f>
        <x:v>0</x:v>
      </x:c>
      <x:c r="AE7" s="28" t="str">
        <x:f>IF(AD7=1,"Cumplida",IF(AD7&gt;=0.8,"Cumplida con ajustes",IF(AD7&gt;0,"En ejecución","Pendiente")))</x:f>
        <x:v>Pendiente</x:v>
      </x:c>
    </x:row>
    <x:row r="8" ht="20" customHeight="1">
      <x:c r="A8" s="28" t="str"/>
      <x:c r="B8" s="28" t="n">
        <x:v>2026</x:v>
      </x:c>
      <x:c r="C8" s="28" t="str"/>
      <x:c r="D8" s="28" t="str"/>
      <x:c r="E8" s="28" t="str"/>
      <x:c r="F8" s="28" t="str"/>
      <x:c r="G8" s="28" t="str"/>
      <x:c r="H8" s="28" t="str"/>
      <x:c r="I8" s="28" t="str"/>
      <x:c r="J8" s="28" t="str"/>
      <x:c r="K8" s="28" t="str"/>
      <x:c r="L8" s="28" t="str"/>
      <x:c r="M8" s="28" t="str"/>
      <x:c r="N8" s="74" t="str"/>
      <x:c r="O8" s="28" t="str"/>
      <x:c r="P8" s="28" t="str"/>
      <x:c r="Q8" s="28" t="str"/>
      <x:c r="R8" s="28" t="str"/>
      <x:c r="S8" s="28" t="str"/>
      <x:c r="T8" s="28" t="str"/>
      <x:c r="U8" s="28" t="str"/>
      <x:c r="V8" s="28" t="str"/>
      <x:c r="W8" s="28" t="str"/>
      <x:c r="X8" s="28" t="str"/>
      <x:c r="Y8" s="28" t="str"/>
      <x:c r="Z8" s="28" t="str"/>
      <x:c r="AA8" s="28" t="str"/>
      <x:c r="AB8" s="28" t="n">
        <x:f>SUMPRODUCT(--(P8:AA8&lt;&gt;""),--(P$5:AA$5&lt;=$D$2))</x:f>
        <x:v>0</x:v>
      </x:c>
      <x:c r="AC8" s="28" t="n">
        <x:f>SUMPRODUCT(--(P8:AA8="Ejecutado"),--(P$5:AA$5&lt;=$D$2))</x:f>
        <x:v>0</x:v>
      </x:c>
      <x:c r="AD8" s="75" t="n">
        <x:f>IF(AB8=0,0,AC8/AB8)</x:f>
        <x:v>0</x:v>
      </x:c>
      <x:c r="AE8" s="28" t="str">
        <x:f>IF(AD8=1,"Cumplida",IF(AD8&gt;=0.8,"Cumplida con ajustes",IF(AD8&gt;0,"En ejecución","Pendiente")))</x:f>
        <x:v>Pendiente</x:v>
      </x:c>
    </x:row>
    <x:row r="9" ht="20" customHeight="1">
      <x:c r="A9" s="28" t="str"/>
      <x:c r="B9" s="28" t="n">
        <x:v>2026</x:v>
      </x:c>
      <x:c r="C9" s="28" t="str"/>
      <x:c r="D9" s="28" t="str"/>
      <x:c r="E9" s="28" t="str"/>
      <x:c r="F9" s="28" t="str"/>
      <x:c r="G9" s="28" t="str"/>
      <x:c r="H9" s="28" t="str"/>
      <x:c r="I9" s="28" t="str"/>
      <x:c r="J9" s="28" t="str"/>
      <x:c r="K9" s="28" t="str"/>
      <x:c r="L9" s="28" t="str"/>
      <x:c r="M9" s="28" t="str"/>
      <x:c r="N9" s="74" t="str"/>
      <x:c r="O9" s="28" t="str"/>
      <x:c r="P9" s="28" t="str"/>
      <x:c r="Q9" s="28" t="str"/>
      <x:c r="R9" s="28" t="str"/>
      <x:c r="S9" s="28" t="str"/>
      <x:c r="T9" s="28" t="str"/>
      <x:c r="U9" s="28" t="str"/>
      <x:c r="V9" s="28" t="str"/>
      <x:c r="W9" s="28" t="str"/>
      <x:c r="X9" s="28" t="str"/>
      <x:c r="Y9" s="28" t="str"/>
      <x:c r="Z9" s="28" t="str"/>
      <x:c r="AA9" s="28" t="str"/>
      <x:c r="AB9" s="28" t="n">
        <x:f>SUMPRODUCT(--(P9:AA9&lt;&gt;""),--(P$5:AA$5&lt;=$D$2))</x:f>
        <x:v>0</x:v>
      </x:c>
      <x:c r="AC9" s="28" t="n">
        <x:f>SUMPRODUCT(--(P9:AA9="Ejecutado"),--(P$5:AA$5&lt;=$D$2))</x:f>
        <x:v>0</x:v>
      </x:c>
      <x:c r="AD9" s="75" t="n">
        <x:f>IF(AB9=0,0,AC9/AB9)</x:f>
        <x:v>0</x:v>
      </x:c>
      <x:c r="AE9" s="28" t="str">
        <x:f>IF(AD9=1,"Cumplida",IF(AD9&gt;=0.8,"Cumplida con ajustes",IF(AD9&gt;0,"En ejecución","Pendiente")))</x:f>
        <x:v>Pendiente</x:v>
      </x:c>
    </x:row>
    <x:row r="10" ht="20" customHeight="1">
      <x:c r="A10" s="28" t="str"/>
      <x:c r="B10" s="28" t="n">
        <x:v>2026</x:v>
      </x:c>
      <x:c r="C10" s="28" t="str"/>
      <x:c r="D10" s="28" t="str"/>
      <x:c r="E10" s="28" t="str"/>
      <x:c r="F10" s="28" t="str"/>
      <x:c r="G10" s="28" t="str"/>
      <x:c r="H10" s="28" t="str"/>
      <x:c r="I10" s="28" t="str"/>
      <x:c r="J10" s="28" t="str"/>
      <x:c r="K10" s="28" t="str"/>
      <x:c r="L10" s="28" t="str"/>
      <x:c r="M10" s="28" t="str"/>
      <x:c r="N10" s="74" t="str"/>
      <x:c r="O10" s="28" t="str"/>
      <x:c r="P10" s="28" t="str"/>
      <x:c r="Q10" s="28" t="str"/>
      <x:c r="R10" s="28" t="str"/>
      <x:c r="S10" s="28" t="str"/>
      <x:c r="T10" s="28" t="str"/>
      <x:c r="U10" s="28" t="str"/>
      <x:c r="V10" s="28" t="str"/>
      <x:c r="W10" s="28" t="str"/>
      <x:c r="X10" s="28" t="str"/>
      <x:c r="Y10" s="28" t="str"/>
      <x:c r="Z10" s="28" t="str"/>
      <x:c r="AA10" s="28" t="str"/>
      <x:c r="AB10" s="28" t="n">
        <x:f>SUMPRODUCT(--(P10:AA10&lt;&gt;""),--(P$5:AA$5&lt;=$D$2))</x:f>
        <x:v>0</x:v>
      </x:c>
      <x:c r="AC10" s="28" t="n">
        <x:f>SUMPRODUCT(--(P10:AA10="Ejecutado"),--(P$5:AA$5&lt;=$D$2))</x:f>
        <x:v>0</x:v>
      </x:c>
      <x:c r="AD10" s="75" t="n">
        <x:f>IF(AB10=0,0,AC10/AB10)</x:f>
        <x:v>0</x:v>
      </x:c>
      <x:c r="AE10" s="28" t="str">
        <x:f>IF(AD10=1,"Cumplida",IF(AD10&gt;=0.8,"Cumplida con ajustes",IF(AD10&gt;0,"En ejecución","Pendiente")))</x:f>
        <x:v>Pendiente</x:v>
      </x:c>
    </x:row>
    <x:row r="11" ht="20" customHeight="1">
      <x:c r="A11" s="28" t="str"/>
      <x:c r="B11" s="28" t="n">
        <x:v>2026</x:v>
      </x:c>
      <x:c r="C11" s="28" t="str"/>
      <x:c r="D11" s="28" t="str"/>
      <x:c r="E11" s="28" t="str"/>
      <x:c r="F11" s="28" t="str"/>
      <x:c r="G11" s="28" t="str"/>
      <x:c r="H11" s="28" t="str"/>
      <x:c r="I11" s="28" t="str"/>
      <x:c r="J11" s="28" t="str"/>
      <x:c r="K11" s="28" t="str"/>
      <x:c r="L11" s="28" t="str"/>
      <x:c r="M11" s="28" t="str"/>
      <x:c r="N11" s="74" t="str"/>
      <x:c r="O11" s="28" t="str"/>
      <x:c r="P11" s="28" t="str"/>
      <x:c r="Q11" s="28" t="str"/>
      <x:c r="R11" s="28" t="str"/>
      <x:c r="S11" s="28" t="str"/>
      <x:c r="T11" s="28" t="str"/>
      <x:c r="U11" s="28" t="str"/>
      <x:c r="V11" s="28" t="str"/>
      <x:c r="W11" s="28" t="str"/>
      <x:c r="X11" s="28" t="str"/>
      <x:c r="Y11" s="28" t="str"/>
      <x:c r="Z11" s="28" t="str"/>
      <x:c r="AA11" s="28" t="str"/>
      <x:c r="AB11" s="28" t="n">
        <x:f>SUMPRODUCT(--(P11:AA11&lt;&gt;""),--(P$5:AA$5&lt;=$D$2))</x:f>
        <x:v>0</x:v>
      </x:c>
      <x:c r="AC11" s="28" t="n">
        <x:f>SUMPRODUCT(--(P11:AA11="Ejecutado"),--(P$5:AA$5&lt;=$D$2))</x:f>
        <x:v>0</x:v>
      </x:c>
      <x:c r="AD11" s="75" t="n">
        <x:f>IF(AB11=0,0,AC11/AB11)</x:f>
        <x:v>0</x:v>
      </x:c>
      <x:c r="AE11" s="28" t="str">
        <x:f>IF(AD11=1,"Cumplida",IF(AD11&gt;=0.8,"Cumplida con ajustes",IF(AD11&gt;0,"En ejecución","Pendiente")))</x:f>
        <x:v>Pendiente</x:v>
      </x:c>
    </x:row>
    <x:row r="12" ht="20" customHeight="1">
      <x:c r="A12" s="28" t="str"/>
      <x:c r="B12" s="28" t="n">
        <x:v>2026</x:v>
      </x:c>
      <x:c r="C12" s="28" t="str"/>
      <x:c r="D12" s="28" t="str"/>
      <x:c r="E12" s="28" t="str"/>
      <x:c r="F12" s="28" t="str"/>
      <x:c r="G12" s="28" t="str"/>
      <x:c r="H12" s="28" t="str"/>
      <x:c r="I12" s="28" t="str"/>
      <x:c r="J12" s="28" t="str"/>
      <x:c r="K12" s="28" t="str"/>
      <x:c r="L12" s="28" t="str"/>
      <x:c r="M12" s="28" t="str"/>
      <x:c r="N12" s="74" t="str"/>
      <x:c r="O12" s="28" t="str"/>
      <x:c r="P12" s="28" t="str"/>
      <x:c r="Q12" s="28" t="str"/>
      <x:c r="R12" s="28" t="str"/>
      <x:c r="S12" s="28" t="str"/>
      <x:c r="T12" s="28" t="str"/>
      <x:c r="U12" s="28" t="str"/>
      <x:c r="V12" s="28" t="str"/>
      <x:c r="W12" s="28" t="str"/>
      <x:c r="X12" s="28" t="str"/>
      <x:c r="Y12" s="28" t="str"/>
      <x:c r="Z12" s="28" t="str"/>
      <x:c r="AA12" s="28" t="str"/>
      <x:c r="AB12" s="28" t="n">
        <x:f>SUMPRODUCT(--(P12:AA12&lt;&gt;""),--(P$5:AA$5&lt;=$D$2))</x:f>
        <x:v>0</x:v>
      </x:c>
      <x:c r="AC12" s="28" t="n">
        <x:f>SUMPRODUCT(--(P12:AA12="Ejecutado"),--(P$5:AA$5&lt;=$D$2))</x:f>
        <x:v>0</x:v>
      </x:c>
      <x:c r="AD12" s="75" t="n">
        <x:f>IF(AB12=0,0,AC12/AB12)</x:f>
        <x:v>0</x:v>
      </x:c>
      <x:c r="AE12" s="28" t="str">
        <x:f>IF(AD12=1,"Cumplida",IF(AD12&gt;=0.8,"Cumplida con ajustes",IF(AD12&gt;0,"En ejecución","Pendiente")))</x:f>
        <x:v>Pendiente</x:v>
      </x:c>
    </x:row>
    <x:row r="13" ht="20" customHeight="1">
      <x:c r="A13" s="28" t="str"/>
      <x:c r="B13" s="28" t="n">
        <x:v>2026</x:v>
      </x:c>
      <x:c r="C13" s="28" t="str"/>
      <x:c r="D13" s="28" t="str"/>
      <x:c r="E13" s="28" t="str"/>
      <x:c r="F13" s="28" t="str"/>
      <x:c r="G13" s="28" t="str"/>
      <x:c r="H13" s="28" t="str"/>
      <x:c r="I13" s="28" t="str"/>
      <x:c r="J13" s="28" t="str"/>
      <x:c r="K13" s="28" t="str"/>
      <x:c r="L13" s="28" t="str"/>
      <x:c r="M13" s="28" t="str"/>
      <x:c r="N13" s="74" t="str"/>
      <x:c r="O13" s="28" t="str"/>
      <x:c r="P13" s="28" t="str"/>
      <x:c r="Q13" s="28" t="str"/>
      <x:c r="R13" s="28" t="str"/>
      <x:c r="S13" s="28" t="str"/>
      <x:c r="T13" s="28" t="str"/>
      <x:c r="U13" s="28" t="str"/>
      <x:c r="V13" s="28" t="str"/>
      <x:c r="W13" s="28" t="str"/>
      <x:c r="X13" s="28" t="str"/>
      <x:c r="Y13" s="28" t="str"/>
      <x:c r="Z13" s="28" t="str"/>
      <x:c r="AA13" s="28" t="str"/>
      <x:c r="AB13" s="28" t="n">
        <x:f>SUMPRODUCT(--(P13:AA13&lt;&gt;""),--(P$5:AA$5&lt;=$D$2))</x:f>
        <x:v>0</x:v>
      </x:c>
      <x:c r="AC13" s="28" t="n">
        <x:f>SUMPRODUCT(--(P13:AA13="Ejecutado"),--(P$5:AA$5&lt;=$D$2))</x:f>
        <x:v>0</x:v>
      </x:c>
      <x:c r="AD13" s="75" t="n">
        <x:f>IF(AB13=0,0,AC13/AB13)</x:f>
        <x:v>0</x:v>
      </x:c>
      <x:c r="AE13" s="28" t="str">
        <x:f>IF(AD13=1,"Cumplida",IF(AD13&gt;=0.8,"Cumplida con ajustes",IF(AD13&gt;0,"En ejecución","Pendiente")))</x:f>
        <x:v>Pendiente</x:v>
      </x:c>
    </x:row>
    <x:row r="14" ht="20" customHeight="1">
      <x:c r="A14" s="28" t="str"/>
      <x:c r="B14" s="28" t="n">
        <x:v>2026</x:v>
      </x:c>
      <x:c r="C14" s="28" t="str"/>
      <x:c r="D14" s="28" t="str"/>
      <x:c r="E14" s="28" t="str"/>
      <x:c r="F14" s="28" t="str"/>
      <x:c r="G14" s="28" t="str"/>
      <x:c r="H14" s="28" t="str"/>
      <x:c r="I14" s="28" t="str"/>
      <x:c r="J14" s="28" t="str"/>
      <x:c r="K14" s="28" t="str"/>
      <x:c r="L14" s="28" t="str"/>
      <x:c r="M14" s="28" t="str"/>
      <x:c r="N14" s="74" t="str"/>
      <x:c r="O14" s="28" t="str"/>
      <x:c r="P14" s="28" t="str"/>
      <x:c r="Q14" s="28" t="str"/>
      <x:c r="R14" s="28" t="str"/>
      <x:c r="S14" s="28" t="str"/>
      <x:c r="T14" s="28" t="str"/>
      <x:c r="U14" s="28" t="str"/>
      <x:c r="V14" s="28" t="str"/>
      <x:c r="W14" s="28" t="str"/>
      <x:c r="X14" s="28" t="str"/>
      <x:c r="Y14" s="28" t="str"/>
      <x:c r="Z14" s="28" t="str"/>
      <x:c r="AA14" s="28" t="str"/>
      <x:c r="AB14" s="28" t="n">
        <x:f>SUMPRODUCT(--(P14:AA14&lt;&gt;""),--(P$5:AA$5&lt;=$D$2))</x:f>
        <x:v>0</x:v>
      </x:c>
      <x:c r="AC14" s="28" t="n">
        <x:f>SUMPRODUCT(--(P14:AA14="Ejecutado"),--(P$5:AA$5&lt;=$D$2))</x:f>
        <x:v>0</x:v>
      </x:c>
      <x:c r="AD14" s="75" t="n">
        <x:f>IF(AB14=0,0,AC14/AB14)</x:f>
        <x:v>0</x:v>
      </x:c>
      <x:c r="AE14" s="28" t="str">
        <x:f>IF(AD14=1,"Cumplida",IF(AD14&gt;=0.8,"Cumplida con ajustes",IF(AD14&gt;0,"En ejecución","Pendiente")))</x:f>
        <x:v>Pendiente</x:v>
      </x:c>
    </x:row>
    <x:row r="15" ht="20" customHeight="1">
      <x:c r="A15" s="28" t="str"/>
      <x:c r="B15" s="28" t="n">
        <x:v>2026</x:v>
      </x:c>
      <x:c r="C15" s="28" t="str"/>
      <x:c r="D15" s="28" t="str"/>
      <x:c r="E15" s="28" t="str"/>
      <x:c r="F15" s="28" t="str"/>
      <x:c r="G15" s="28" t="str"/>
      <x:c r="H15" s="28" t="str"/>
      <x:c r="I15" s="28" t="str"/>
      <x:c r="J15" s="28" t="str"/>
      <x:c r="K15" s="28" t="str"/>
      <x:c r="L15" s="28" t="str"/>
      <x:c r="M15" s="28" t="str"/>
      <x:c r="N15" s="74" t="str"/>
      <x:c r="O15" s="28" t="str"/>
      <x:c r="P15" s="28" t="str"/>
      <x:c r="Q15" s="28" t="str"/>
      <x:c r="R15" s="28" t="str"/>
      <x:c r="S15" s="28" t="str"/>
      <x:c r="T15" s="28" t="str"/>
      <x:c r="U15" s="28" t="str"/>
      <x:c r="V15" s="28" t="str"/>
      <x:c r="W15" s="28" t="str"/>
      <x:c r="X15" s="28" t="str"/>
      <x:c r="Y15" s="28" t="str"/>
      <x:c r="Z15" s="28" t="str"/>
      <x:c r="AA15" s="28" t="str"/>
      <x:c r="AB15" s="28" t="n">
        <x:f>SUMPRODUCT(--(P15:AA15&lt;&gt;""),--(P$5:AA$5&lt;=$D$2))</x:f>
        <x:v>0</x:v>
      </x:c>
      <x:c r="AC15" s="28" t="n">
        <x:f>SUMPRODUCT(--(P15:AA15="Ejecutado"),--(P$5:AA$5&lt;=$D$2))</x:f>
        <x:v>0</x:v>
      </x:c>
      <x:c r="AD15" s="75" t="n">
        <x:f>IF(AB15=0,0,AC15/AB15)</x:f>
        <x:v>0</x:v>
      </x:c>
      <x:c r="AE15" s="28" t="str">
        <x:f>IF(AD15=1,"Cumplida",IF(AD15&gt;=0.8,"Cumplida con ajustes",IF(AD15&gt;0,"En ejecución","Pendiente")))</x:f>
        <x:v>Pendiente</x:v>
      </x:c>
    </x:row>
    <x:row r="16" ht="20" customHeight="1">
      <x:c r="A16" s="28" t="str"/>
      <x:c r="B16" s="28" t="n">
        <x:v>2026</x:v>
      </x:c>
      <x:c r="C16" s="28" t="str"/>
      <x:c r="D16" s="28" t="str"/>
      <x:c r="E16" s="28" t="str"/>
      <x:c r="F16" s="28" t="str"/>
      <x:c r="G16" s="28" t="str"/>
      <x:c r="H16" s="28" t="str"/>
      <x:c r="I16" s="28" t="str"/>
      <x:c r="J16" s="28" t="str"/>
      <x:c r="K16" s="28" t="str"/>
      <x:c r="L16" s="28" t="str"/>
      <x:c r="M16" s="28" t="str"/>
      <x:c r="N16" s="74" t="str"/>
      <x:c r="O16" s="28" t="str"/>
      <x:c r="P16" s="28" t="str"/>
      <x:c r="Q16" s="28" t="str"/>
      <x:c r="R16" s="28" t="str"/>
      <x:c r="S16" s="28" t="str"/>
      <x:c r="T16" s="28" t="str"/>
      <x:c r="U16" s="28" t="str"/>
      <x:c r="V16" s="28" t="str"/>
      <x:c r="W16" s="28" t="str"/>
      <x:c r="X16" s="28" t="str"/>
      <x:c r="Y16" s="28" t="str"/>
      <x:c r="Z16" s="28" t="str"/>
      <x:c r="AA16" s="28" t="str"/>
      <x:c r="AB16" s="28" t="n">
        <x:f>SUMPRODUCT(--(P16:AA16&lt;&gt;""),--(P$5:AA$5&lt;=$D$2))</x:f>
        <x:v>0</x:v>
      </x:c>
      <x:c r="AC16" s="28" t="n">
        <x:f>SUMPRODUCT(--(P16:AA16="Ejecutado"),--(P$5:AA$5&lt;=$D$2))</x:f>
        <x:v>0</x:v>
      </x:c>
      <x:c r="AD16" s="75" t="n">
        <x:f>IF(AB16=0,0,AC16/AB16)</x:f>
        <x:v>0</x:v>
      </x:c>
      <x:c r="AE16" s="28" t="str">
        <x:f>IF(AD16=1,"Cumplida",IF(AD16&gt;=0.8,"Cumplida con ajustes",IF(AD16&gt;0,"En ejecución","Pendiente")))</x:f>
        <x:v>Pendiente</x:v>
      </x:c>
    </x:row>
    <x:row r="17" ht="20" customHeight="1">
      <x:c r="A17" s="28" t="str"/>
      <x:c r="B17" s="28" t="n">
        <x:v>2026</x:v>
      </x:c>
      <x:c r="C17" s="28" t="str"/>
      <x:c r="D17" s="28" t="str"/>
      <x:c r="E17" s="28" t="str"/>
      <x:c r="F17" s="28" t="str"/>
      <x:c r="G17" s="28" t="str"/>
      <x:c r="H17" s="28" t="str"/>
      <x:c r="I17" s="28" t="str"/>
      <x:c r="J17" s="28" t="str"/>
      <x:c r="K17" s="28" t="str"/>
      <x:c r="L17" s="28" t="str"/>
      <x:c r="M17" s="28" t="str"/>
      <x:c r="N17" s="74" t="str"/>
      <x:c r="O17" s="28" t="str"/>
      <x:c r="P17" s="28" t="str"/>
      <x:c r="Q17" s="28" t="str"/>
      <x:c r="R17" s="28" t="str"/>
      <x:c r="S17" s="28" t="str"/>
      <x:c r="T17" s="28" t="str"/>
      <x:c r="U17" s="28" t="str"/>
      <x:c r="V17" s="28" t="str"/>
      <x:c r="W17" s="28" t="str"/>
      <x:c r="X17" s="28" t="str"/>
      <x:c r="Y17" s="28" t="str"/>
      <x:c r="Z17" s="28" t="str"/>
      <x:c r="AA17" s="28" t="str"/>
      <x:c r="AB17" s="28" t="n">
        <x:f>SUMPRODUCT(--(P17:AA17&lt;&gt;""),--(P$5:AA$5&lt;=$D$2))</x:f>
        <x:v>0</x:v>
      </x:c>
      <x:c r="AC17" s="28" t="n">
        <x:f>SUMPRODUCT(--(P17:AA17="Ejecutado"),--(P$5:AA$5&lt;=$D$2))</x:f>
        <x:v>0</x:v>
      </x:c>
      <x:c r="AD17" s="75" t="n">
        <x:f>IF(AB17=0,0,AC17/AB17)</x:f>
        <x:v>0</x:v>
      </x:c>
      <x:c r="AE17" s="28" t="str">
        <x:f>IF(AD17=1,"Cumplida",IF(AD17&gt;=0.8,"Cumplida con ajustes",IF(AD17&gt;0,"En ejecución","Pendiente")))</x:f>
        <x:v>Pendiente</x:v>
      </x:c>
    </x:row>
    <x:row r="18" ht="20" customHeight="1">
      <x:c r="A18" s="28" t="str"/>
      <x:c r="B18" s="28" t="n">
        <x:v>2026</x:v>
      </x:c>
      <x:c r="C18" s="28" t="str"/>
      <x:c r="D18" s="28" t="str"/>
      <x:c r="E18" s="28" t="str"/>
      <x:c r="F18" s="28" t="str"/>
      <x:c r="G18" s="28" t="str"/>
      <x:c r="H18" s="28" t="str"/>
      <x:c r="I18" s="28" t="str"/>
      <x:c r="J18" s="28" t="str"/>
      <x:c r="K18" s="28" t="str"/>
      <x:c r="L18" s="28" t="str"/>
      <x:c r="M18" s="28" t="str"/>
      <x:c r="N18" s="74" t="str"/>
      <x:c r="O18" s="28" t="str"/>
      <x:c r="P18" s="28" t="str"/>
      <x:c r="Q18" s="28" t="str"/>
      <x:c r="R18" s="28" t="str"/>
      <x:c r="S18" s="28" t="str"/>
      <x:c r="T18" s="28" t="str"/>
      <x:c r="U18" s="28" t="str"/>
      <x:c r="V18" s="28" t="str"/>
      <x:c r="W18" s="28" t="str"/>
      <x:c r="X18" s="28" t="str"/>
      <x:c r="Y18" s="28" t="str"/>
      <x:c r="Z18" s="28" t="str"/>
      <x:c r="AA18" s="28" t="str"/>
      <x:c r="AB18" s="28" t="n">
        <x:f>SUMPRODUCT(--(P18:AA18&lt;&gt;""),--(P$5:AA$5&lt;=$D$2))</x:f>
        <x:v>0</x:v>
      </x:c>
      <x:c r="AC18" s="28" t="n">
        <x:f>SUMPRODUCT(--(P18:AA18="Ejecutado"),--(P$5:AA$5&lt;=$D$2))</x:f>
        <x:v>0</x:v>
      </x:c>
      <x:c r="AD18" s="75" t="n">
        <x:f>IF(AB18=0,0,AC18/AB18)</x:f>
        <x:v>0</x:v>
      </x:c>
      <x:c r="AE18" s="28" t="str">
        <x:f>IF(AD18=1,"Cumplida",IF(AD18&gt;=0.8,"Cumplida con ajustes",IF(AD18&gt;0,"En ejecución","Pendiente")))</x:f>
        <x:v>Pendiente</x:v>
      </x:c>
    </x:row>
    <x:row r="19" ht="20" customHeight="1">
      <x:c r="A19" s="28" t="str"/>
      <x:c r="B19" s="28" t="n">
        <x:v>2026</x:v>
      </x:c>
      <x:c r="C19" s="28" t="str"/>
      <x:c r="D19" s="28" t="str"/>
      <x:c r="E19" s="28" t="str"/>
      <x:c r="F19" s="28" t="str"/>
      <x:c r="G19" s="28" t="str"/>
      <x:c r="H19" s="28" t="str"/>
      <x:c r="I19" s="28" t="str"/>
      <x:c r="J19" s="28" t="str"/>
      <x:c r="K19" s="28" t="str"/>
      <x:c r="L19" s="28" t="str"/>
      <x:c r="M19" s="28" t="str"/>
      <x:c r="N19" s="74" t="str"/>
      <x:c r="O19" s="28" t="str"/>
      <x:c r="P19" s="28" t="str"/>
      <x:c r="Q19" s="28" t="str"/>
      <x:c r="R19" s="28" t="str"/>
      <x:c r="S19" s="28" t="str"/>
      <x:c r="T19" s="28" t="str"/>
      <x:c r="U19" s="28" t="str"/>
      <x:c r="V19" s="28" t="str"/>
      <x:c r="W19" s="28" t="str"/>
      <x:c r="X19" s="28" t="str"/>
      <x:c r="Y19" s="28" t="str"/>
      <x:c r="Z19" s="28" t="str"/>
      <x:c r="AA19" s="28" t="str"/>
      <x:c r="AB19" s="28" t="n">
        <x:f>SUMPRODUCT(--(P19:AA19&lt;&gt;""),--(P$5:AA$5&lt;=$D$2))</x:f>
        <x:v>0</x:v>
      </x:c>
      <x:c r="AC19" s="28" t="n">
        <x:f>SUMPRODUCT(--(P19:AA19="Ejecutado"),--(P$5:AA$5&lt;=$D$2))</x:f>
        <x:v>0</x:v>
      </x:c>
      <x:c r="AD19" s="75" t="n">
        <x:f>IF(AB19=0,0,AC19/AB19)</x:f>
        <x:v>0</x:v>
      </x:c>
      <x:c r="AE19" s="28" t="str">
        <x:f>IF(AD19=1,"Cumplida",IF(AD19&gt;=0.8,"Cumplida con ajustes",IF(AD19&gt;0,"En ejecución","Pendiente")))</x:f>
        <x:v>Pendiente</x:v>
      </x:c>
    </x:row>
    <x:row r="20" ht="20" customHeight="1">
      <x:c r="A20" s="28" t="str"/>
      <x:c r="B20" s="28" t="n">
        <x:v>2026</x:v>
      </x:c>
      <x:c r="C20" s="28" t="str"/>
      <x:c r="D20" s="28" t="str"/>
      <x:c r="E20" s="28" t="str"/>
      <x:c r="F20" s="28" t="str"/>
      <x:c r="G20" s="28" t="str"/>
      <x:c r="H20" s="28" t="str"/>
      <x:c r="I20" s="28" t="str"/>
      <x:c r="J20" s="28" t="str"/>
      <x:c r="K20" s="28" t="str"/>
      <x:c r="L20" s="28" t="str"/>
      <x:c r="M20" s="28" t="str"/>
      <x:c r="N20" s="74" t="str"/>
      <x:c r="O20" s="28" t="str"/>
      <x:c r="P20" s="28" t="str"/>
      <x:c r="Q20" s="28" t="str"/>
      <x:c r="R20" s="28" t="str"/>
      <x:c r="S20" s="28" t="str"/>
      <x:c r="T20" s="28" t="str"/>
      <x:c r="U20" s="28" t="str"/>
      <x:c r="V20" s="28" t="str"/>
      <x:c r="W20" s="28" t="str"/>
      <x:c r="X20" s="28" t="str"/>
      <x:c r="Y20" s="28" t="str"/>
      <x:c r="Z20" s="28" t="str"/>
      <x:c r="AA20" s="28" t="str"/>
      <x:c r="AB20" s="28" t="n">
        <x:f>SUMPRODUCT(--(P20:AA20&lt;&gt;""),--(P$5:AA$5&lt;=$D$2))</x:f>
        <x:v>0</x:v>
      </x:c>
      <x:c r="AC20" s="28" t="n">
        <x:f>SUMPRODUCT(--(P20:AA20="Ejecutado"),--(P$5:AA$5&lt;=$D$2))</x:f>
        <x:v>0</x:v>
      </x:c>
      <x:c r="AD20" s="75" t="n">
        <x:f>IF(AB20=0,0,AC20/AB20)</x:f>
        <x:v>0</x:v>
      </x:c>
      <x:c r="AE20" s="28" t="str">
        <x:f>IF(AD20=1,"Cumplida",IF(AD20&gt;=0.8,"Cumplida con ajustes",IF(AD20&gt;0,"En ejecución","Pendiente")))</x:f>
        <x:v>Pendiente</x:v>
      </x:c>
    </x:row>
    <x:row r="21" ht="20" customHeight="1">
      <x:c r="A21" s="28" t="str"/>
      <x:c r="B21" s="28" t="n">
        <x:v>2026</x:v>
      </x:c>
      <x:c r="C21" s="28" t="str"/>
      <x:c r="D21" s="28" t="str"/>
      <x:c r="E21" s="28" t="str"/>
      <x:c r="F21" s="28" t="str"/>
      <x:c r="G21" s="28" t="str"/>
      <x:c r="H21" s="28" t="str"/>
      <x:c r="I21" s="28" t="str"/>
      <x:c r="J21" s="28" t="str"/>
      <x:c r="K21" s="28" t="str"/>
      <x:c r="L21" s="28" t="str"/>
      <x:c r="M21" s="28" t="str"/>
      <x:c r="N21" s="74" t="str"/>
      <x:c r="O21" s="28" t="str"/>
      <x:c r="P21" s="28" t="str"/>
      <x:c r="Q21" s="28" t="str"/>
      <x:c r="R21" s="28" t="str"/>
      <x:c r="S21" s="28" t="str"/>
      <x:c r="T21" s="28" t="str"/>
      <x:c r="U21" s="28" t="str"/>
      <x:c r="V21" s="28" t="str"/>
      <x:c r="W21" s="28" t="str"/>
      <x:c r="X21" s="28" t="str"/>
      <x:c r="Y21" s="28" t="str"/>
      <x:c r="Z21" s="28" t="str"/>
      <x:c r="AA21" s="28" t="str"/>
      <x:c r="AB21" s="28" t="n">
        <x:f>SUMPRODUCT(--(P21:AA21&lt;&gt;""),--(P$5:AA$5&lt;=$D$2))</x:f>
        <x:v>0</x:v>
      </x:c>
      <x:c r="AC21" s="28" t="n">
        <x:f>SUMPRODUCT(--(P21:AA21="Ejecutado"),--(P$5:AA$5&lt;=$D$2))</x:f>
        <x:v>0</x:v>
      </x:c>
      <x:c r="AD21" s="75" t="n">
        <x:f>IF(AB21=0,0,AC21/AB21)</x:f>
        <x:v>0</x:v>
      </x:c>
      <x:c r="AE21" s="28" t="str">
        <x:f>IF(AD21=1,"Cumplida",IF(AD21&gt;=0.8,"Cumplida con ajustes",IF(AD21&gt;0,"En ejecución","Pendiente")))</x:f>
        <x:v>Pendiente</x:v>
      </x:c>
    </x:row>
    <x:row r="22" ht="20" customHeight="1">
      <x:c r="A22" s="28" t="str"/>
      <x:c r="B22" s="28" t="n">
        <x:v>2026</x:v>
      </x:c>
      <x:c r="C22" s="28" t="str"/>
      <x:c r="D22" s="28" t="str"/>
      <x:c r="E22" s="28" t="str"/>
      <x:c r="F22" s="28" t="str"/>
      <x:c r="G22" s="28" t="str"/>
      <x:c r="H22" s="28" t="str"/>
      <x:c r="I22" s="28" t="str"/>
      <x:c r="J22" s="28" t="str"/>
      <x:c r="K22" s="28" t="str"/>
      <x:c r="L22" s="28" t="str"/>
      <x:c r="M22" s="28" t="str"/>
      <x:c r="N22" s="74" t="str"/>
      <x:c r="O22" s="28" t="str"/>
      <x:c r="P22" s="28" t="str"/>
      <x:c r="Q22" s="28" t="str"/>
      <x:c r="R22" s="28" t="str"/>
      <x:c r="S22" s="28" t="str"/>
      <x:c r="T22" s="28" t="str"/>
      <x:c r="U22" s="28" t="str"/>
      <x:c r="V22" s="28" t="str"/>
      <x:c r="W22" s="28" t="str"/>
      <x:c r="X22" s="28" t="str"/>
      <x:c r="Y22" s="28" t="str"/>
      <x:c r="Z22" s="28" t="str"/>
      <x:c r="AA22" s="28" t="str"/>
      <x:c r="AB22" s="28" t="n">
        <x:f>SUMPRODUCT(--(P22:AA22&lt;&gt;""),--(P$5:AA$5&lt;=$D$2))</x:f>
        <x:v>0</x:v>
      </x:c>
      <x:c r="AC22" s="28" t="n">
        <x:f>SUMPRODUCT(--(P22:AA22="Ejecutado"),--(P$5:AA$5&lt;=$D$2))</x:f>
        <x:v>0</x:v>
      </x:c>
      <x:c r="AD22" s="75" t="n">
        <x:f>IF(AB22=0,0,AC22/AB22)</x:f>
        <x:v>0</x:v>
      </x:c>
      <x:c r="AE22" s="28" t="str">
        <x:f>IF(AD22=1,"Cumplida",IF(AD22&gt;=0.8,"Cumplida con ajustes",IF(AD22&gt;0,"En ejecución","Pendiente")))</x:f>
        <x:v>Pendiente</x:v>
      </x:c>
    </x:row>
    <x:row r="23" ht="20" customHeight="1">
      <x:c r="A23" s="28" t="str"/>
      <x:c r="B23" s="28" t="n">
        <x:v>2026</x:v>
      </x:c>
      <x:c r="C23" s="28" t="str"/>
      <x:c r="D23" s="28" t="str"/>
      <x:c r="E23" s="28" t="str"/>
      <x:c r="F23" s="28" t="str"/>
      <x:c r="G23" s="28" t="str"/>
      <x:c r="H23" s="28" t="str"/>
      <x:c r="I23" s="28" t="str"/>
      <x:c r="J23" s="28" t="str"/>
      <x:c r="K23" s="28" t="str"/>
      <x:c r="L23" s="28" t="str"/>
      <x:c r="M23" s="28" t="str"/>
      <x:c r="N23" s="74" t="str"/>
      <x:c r="O23" s="28" t="str"/>
      <x:c r="P23" s="28" t="str"/>
      <x:c r="Q23" s="28" t="str"/>
      <x:c r="R23" s="28" t="str"/>
      <x:c r="S23" s="28" t="str"/>
      <x:c r="T23" s="28" t="str"/>
      <x:c r="U23" s="28" t="str"/>
      <x:c r="V23" s="28" t="str"/>
      <x:c r="W23" s="28" t="str"/>
      <x:c r="X23" s="28" t="str"/>
      <x:c r="Y23" s="28" t="str"/>
      <x:c r="Z23" s="28" t="str"/>
      <x:c r="AA23" s="28" t="str"/>
      <x:c r="AB23" s="28" t="n">
        <x:f>SUMPRODUCT(--(P23:AA23&lt;&gt;""),--(P$5:AA$5&lt;=$D$2))</x:f>
        <x:v>0</x:v>
      </x:c>
      <x:c r="AC23" s="28" t="n">
        <x:f>SUMPRODUCT(--(P23:AA23="Ejecutado"),--(P$5:AA$5&lt;=$D$2))</x:f>
        <x:v>0</x:v>
      </x:c>
      <x:c r="AD23" s="75" t="n">
        <x:f>IF(AB23=0,0,AC23/AB23)</x:f>
        <x:v>0</x:v>
      </x:c>
      <x:c r="AE23" s="28" t="str">
        <x:f>IF(AD23=1,"Cumplida",IF(AD23&gt;=0.8,"Cumplida con ajustes",IF(AD23&gt;0,"En ejecución","Pendiente")))</x:f>
        <x:v>Pendiente</x:v>
      </x:c>
    </x:row>
    <x:row r="24" ht="20" customHeight="1">
      <x:c r="A24" s="28" t="str"/>
      <x:c r="B24" s="28" t="n">
        <x:v>2026</x:v>
      </x:c>
      <x:c r="C24" s="28" t="str"/>
      <x:c r="D24" s="28" t="str"/>
      <x:c r="E24" s="28" t="str"/>
      <x:c r="F24" s="28" t="str"/>
      <x:c r="G24" s="28" t="str"/>
      <x:c r="H24" s="28" t="str"/>
      <x:c r="I24" s="28" t="str"/>
      <x:c r="J24" s="28" t="str"/>
      <x:c r="K24" s="28" t="str"/>
      <x:c r="L24" s="28" t="str"/>
      <x:c r="M24" s="28" t="str"/>
      <x:c r="N24" s="74" t="str"/>
      <x:c r="O24" s="28" t="str"/>
      <x:c r="P24" s="28" t="str"/>
      <x:c r="Q24" s="28" t="str"/>
      <x:c r="R24" s="28" t="str"/>
      <x:c r="S24" s="28" t="str"/>
      <x:c r="T24" s="28" t="str"/>
      <x:c r="U24" s="28" t="str"/>
      <x:c r="V24" s="28" t="str"/>
      <x:c r="W24" s="28" t="str"/>
      <x:c r="X24" s="28" t="str"/>
      <x:c r="Y24" s="28" t="str"/>
      <x:c r="Z24" s="28" t="str"/>
      <x:c r="AA24" s="28" t="str"/>
      <x:c r="AB24" s="28" t="n">
        <x:f>SUMPRODUCT(--(P24:AA24&lt;&gt;""),--(P$5:AA$5&lt;=$D$2))</x:f>
        <x:v>0</x:v>
      </x:c>
      <x:c r="AC24" s="28" t="n">
        <x:f>SUMPRODUCT(--(P24:AA24="Ejecutado"),--(P$5:AA$5&lt;=$D$2))</x:f>
        <x:v>0</x:v>
      </x:c>
      <x:c r="AD24" s="75" t="n">
        <x:f>IF(AB24=0,0,AC24/AB24)</x:f>
        <x:v>0</x:v>
      </x:c>
      <x:c r="AE24" s="28" t="str">
        <x:f>IF(AD24=1,"Cumplida",IF(AD24&gt;=0.8,"Cumplida con ajustes",IF(AD24&gt;0,"En ejecución","Pendiente")))</x:f>
        <x:v>Pendiente</x:v>
      </x:c>
    </x:row>
    <x:row r="25" ht="20" customHeight="1">
      <x:c r="A25" s="28" t="str"/>
      <x:c r="B25" s="28" t="n">
        <x:v>2026</x:v>
      </x:c>
      <x:c r="C25" s="28" t="str"/>
      <x:c r="D25" s="28" t="str"/>
      <x:c r="E25" s="28" t="str"/>
      <x:c r="F25" s="28" t="str"/>
      <x:c r="G25" s="28" t="str"/>
      <x:c r="H25" s="28" t="str"/>
      <x:c r="I25" s="28" t="str"/>
      <x:c r="J25" s="28" t="str"/>
      <x:c r="K25" s="28" t="str"/>
      <x:c r="L25" s="28" t="str"/>
      <x:c r="M25" s="28" t="str"/>
      <x:c r="N25" s="74" t="str"/>
      <x:c r="O25" s="28" t="str"/>
      <x:c r="P25" s="28" t="str"/>
      <x:c r="Q25" s="28" t="str"/>
      <x:c r="R25" s="28" t="str"/>
      <x:c r="S25" s="28" t="str"/>
      <x:c r="T25" s="28" t="str"/>
      <x:c r="U25" s="28" t="str"/>
      <x:c r="V25" s="28" t="str"/>
      <x:c r="W25" s="28" t="str"/>
      <x:c r="X25" s="28" t="str"/>
      <x:c r="Y25" s="28" t="str"/>
      <x:c r="Z25" s="28" t="str"/>
      <x:c r="AA25" s="28" t="str"/>
      <x:c r="AB25" s="28" t="n">
        <x:f>SUMPRODUCT(--(P25:AA25&lt;&gt;""),--(P$5:AA$5&lt;=$D$2))</x:f>
        <x:v>0</x:v>
      </x:c>
      <x:c r="AC25" s="28" t="n">
        <x:f>SUMPRODUCT(--(P25:AA25="Ejecutado"),--(P$5:AA$5&lt;=$D$2))</x:f>
        <x:v>0</x:v>
      </x:c>
      <x:c r="AD25" s="75" t="n">
        <x:f>IF(AB25=0,0,AC25/AB25)</x:f>
        <x:v>0</x:v>
      </x:c>
      <x:c r="AE25" s="28" t="str">
        <x:f>IF(AD25=1,"Cumplida",IF(AD25&gt;=0.8,"Cumplida con ajustes",IF(AD25&gt;0,"En ejecución","Pendiente")))</x:f>
        <x:v>Pendiente</x:v>
      </x:c>
    </x:row>
    <x:row r="26" ht="20" customHeight="1">
      <x:c r="A26" s="28" t="str"/>
      <x:c r="B26" s="28" t="n">
        <x:v>2026</x:v>
      </x:c>
      <x:c r="C26" s="28" t="str"/>
      <x:c r="D26" s="28" t="str"/>
      <x:c r="E26" s="28" t="str"/>
      <x:c r="F26" s="28" t="str"/>
      <x:c r="G26" s="28" t="str"/>
      <x:c r="H26" s="28" t="str"/>
      <x:c r="I26" s="28" t="str"/>
      <x:c r="J26" s="28" t="str"/>
      <x:c r="K26" s="28" t="str"/>
      <x:c r="L26" s="28" t="str"/>
      <x:c r="M26" s="28" t="str"/>
      <x:c r="N26" s="74" t="str"/>
      <x:c r="O26" s="28" t="str"/>
      <x:c r="P26" s="28" t="str"/>
      <x:c r="Q26" s="28" t="str"/>
      <x:c r="R26" s="28" t="str"/>
      <x:c r="S26" s="28" t="str"/>
      <x:c r="T26" s="28" t="str"/>
      <x:c r="U26" s="28" t="str"/>
      <x:c r="V26" s="28" t="str"/>
      <x:c r="W26" s="28" t="str"/>
      <x:c r="X26" s="28" t="str"/>
      <x:c r="Y26" s="28" t="str"/>
      <x:c r="Z26" s="28" t="str"/>
      <x:c r="AA26" s="28" t="str"/>
      <x:c r="AB26" s="28" t="n">
        <x:f>SUMPRODUCT(--(P26:AA26&lt;&gt;""),--(P$5:AA$5&lt;=$D$2))</x:f>
        <x:v>0</x:v>
      </x:c>
      <x:c r="AC26" s="28" t="n">
        <x:f>SUMPRODUCT(--(P26:AA26="Ejecutado"),--(P$5:AA$5&lt;=$D$2))</x:f>
        <x:v>0</x:v>
      </x:c>
      <x:c r="AD26" s="75" t="n">
        <x:f>IF(AB26=0,0,AC26/AB26)</x:f>
        <x:v>0</x:v>
      </x:c>
      <x:c r="AE26" s="28" t="str">
        <x:f>IF(AD26=1,"Cumplida",IF(AD26&gt;=0.8,"Cumplida con ajustes",IF(AD26&gt;0,"En ejecución","Pendiente")))</x:f>
        <x:v>Pendiente</x:v>
      </x:c>
    </x:row>
    <x:row r="27" ht="20" customHeight="1">
      <x:c r="A27" s="28" t="str"/>
      <x:c r="B27" s="28" t="n">
        <x:v>2026</x:v>
      </x:c>
      <x:c r="C27" s="28" t="str"/>
      <x:c r="D27" s="28" t="str"/>
      <x:c r="E27" s="28" t="str"/>
      <x:c r="F27" s="28" t="str"/>
      <x:c r="G27" s="28" t="str"/>
      <x:c r="H27" s="28" t="str"/>
      <x:c r="I27" s="28" t="str"/>
      <x:c r="J27" s="28" t="str"/>
      <x:c r="K27" s="28" t="str"/>
      <x:c r="L27" s="28" t="str"/>
      <x:c r="M27" s="28" t="str"/>
      <x:c r="N27" s="74" t="str"/>
      <x:c r="O27" s="28" t="str"/>
      <x:c r="P27" s="28" t="str"/>
      <x:c r="Q27" s="28" t="str"/>
      <x:c r="R27" s="28" t="str"/>
      <x:c r="S27" s="28" t="str"/>
      <x:c r="T27" s="28" t="str"/>
      <x:c r="U27" s="28" t="str"/>
      <x:c r="V27" s="28" t="str"/>
      <x:c r="W27" s="28" t="str"/>
      <x:c r="X27" s="28" t="str"/>
      <x:c r="Y27" s="28" t="str"/>
      <x:c r="Z27" s="28" t="str"/>
      <x:c r="AA27" s="28" t="str"/>
      <x:c r="AB27" s="28" t="n">
        <x:f>SUMPRODUCT(--(P27:AA27&lt;&gt;""),--(P$5:AA$5&lt;=$D$2))</x:f>
        <x:v>0</x:v>
      </x:c>
      <x:c r="AC27" s="28" t="n">
        <x:f>SUMPRODUCT(--(P27:AA27="Ejecutado"),--(P$5:AA$5&lt;=$D$2))</x:f>
        <x:v>0</x:v>
      </x:c>
      <x:c r="AD27" s="75" t="n">
        <x:f>IF(AB27=0,0,AC27/AB27)</x:f>
        <x:v>0</x:v>
      </x:c>
      <x:c r="AE27" s="28" t="str">
        <x:f>IF(AD27=1,"Cumplida",IF(AD27&gt;=0.8,"Cumplida con ajustes",IF(AD27&gt;0,"En ejecución","Pendiente")))</x:f>
        <x:v>Pendiente</x:v>
      </x:c>
    </x:row>
    <x:row r="28" ht="20" customHeight="1">
      <x:c r="A28" s="28" t="str"/>
      <x:c r="B28" s="28" t="n">
        <x:v>2026</x:v>
      </x:c>
      <x:c r="C28" s="28" t="str"/>
      <x:c r="D28" s="28" t="str"/>
      <x:c r="E28" s="28" t="str"/>
      <x:c r="F28" s="28" t="str"/>
      <x:c r="G28" s="28" t="str"/>
      <x:c r="H28" s="28" t="str"/>
      <x:c r="I28" s="28" t="str"/>
      <x:c r="J28" s="28" t="str"/>
      <x:c r="K28" s="28" t="str"/>
      <x:c r="L28" s="28" t="str"/>
      <x:c r="M28" s="28" t="str"/>
      <x:c r="N28" s="74" t="str"/>
      <x:c r="O28" s="28" t="str"/>
      <x:c r="P28" s="28" t="str"/>
      <x:c r="Q28" s="28" t="str"/>
      <x:c r="R28" s="28" t="str"/>
      <x:c r="S28" s="28" t="str"/>
      <x:c r="T28" s="28" t="str"/>
      <x:c r="U28" s="28" t="str"/>
      <x:c r="V28" s="28" t="str"/>
      <x:c r="W28" s="28" t="str"/>
      <x:c r="X28" s="28" t="str"/>
      <x:c r="Y28" s="28" t="str"/>
      <x:c r="Z28" s="28" t="str"/>
      <x:c r="AA28" s="28" t="str"/>
      <x:c r="AB28" s="28" t="n">
        <x:f>SUMPRODUCT(--(P28:AA28&lt;&gt;""),--(P$5:AA$5&lt;=$D$2))</x:f>
        <x:v>0</x:v>
      </x:c>
      <x:c r="AC28" s="28" t="n">
        <x:f>SUMPRODUCT(--(P28:AA28="Ejecutado"),--(P$5:AA$5&lt;=$D$2))</x:f>
        <x:v>0</x:v>
      </x:c>
      <x:c r="AD28" s="75" t="n">
        <x:f>IF(AB28=0,0,AC28/AB28)</x:f>
        <x:v>0</x:v>
      </x:c>
      <x:c r="AE28" s="28" t="str">
        <x:f>IF(AD28=1,"Cumplida",IF(AD28&gt;=0.8,"Cumplida con ajustes",IF(AD28&gt;0,"En ejecución","Pendiente")))</x:f>
        <x:v>Pendiente</x:v>
      </x:c>
    </x:row>
    <x:row r="29" ht="20" customHeight="1">
      <x:c r="A29" s="28" t="str"/>
      <x:c r="B29" s="28" t="n">
        <x:v>2026</x:v>
      </x:c>
      <x:c r="C29" s="28" t="str"/>
      <x:c r="D29" s="28" t="str"/>
      <x:c r="E29" s="28" t="str"/>
      <x:c r="F29" s="28" t="str"/>
      <x:c r="G29" s="28" t="str"/>
      <x:c r="H29" s="28" t="str"/>
      <x:c r="I29" s="28" t="str"/>
      <x:c r="J29" s="28" t="str"/>
      <x:c r="K29" s="28" t="str"/>
      <x:c r="L29" s="28" t="str"/>
      <x:c r="M29" s="28" t="str"/>
      <x:c r="N29" s="74" t="str"/>
      <x:c r="O29" s="28" t="str"/>
      <x:c r="P29" s="28" t="str"/>
      <x:c r="Q29" s="28" t="str"/>
      <x:c r="R29" s="28" t="str"/>
      <x:c r="S29" s="28" t="str"/>
      <x:c r="T29" s="28" t="str"/>
      <x:c r="U29" s="28" t="str"/>
      <x:c r="V29" s="28" t="str"/>
      <x:c r="W29" s="28" t="str"/>
      <x:c r="X29" s="28" t="str"/>
      <x:c r="Y29" s="28" t="str"/>
      <x:c r="Z29" s="28" t="str"/>
      <x:c r="AA29" s="28" t="str"/>
      <x:c r="AB29" s="28" t="n">
        <x:f>SUMPRODUCT(--(P29:AA29&lt;&gt;""),--(P$5:AA$5&lt;=$D$2))</x:f>
        <x:v>0</x:v>
      </x:c>
      <x:c r="AC29" s="28" t="n">
        <x:f>SUMPRODUCT(--(P29:AA29="Ejecutado"),--(P$5:AA$5&lt;=$D$2))</x:f>
        <x:v>0</x:v>
      </x:c>
      <x:c r="AD29" s="75" t="n">
        <x:f>IF(AB29=0,0,AC29/AB29)</x:f>
        <x:v>0</x:v>
      </x:c>
      <x:c r="AE29" s="28" t="str">
        <x:f>IF(AD29=1,"Cumplida",IF(AD29&gt;=0.8,"Cumplida con ajustes",IF(AD29&gt;0,"En ejecución","Pendiente")))</x:f>
        <x:v>Pendiente</x:v>
      </x:c>
    </x:row>
    <x:row r="30" ht="20" customHeight="1">
      <x:c r="A30" s="28" t="str"/>
      <x:c r="B30" s="28" t="n">
        <x:v>2026</x:v>
      </x:c>
      <x:c r="C30" s="28" t="str"/>
      <x:c r="D30" s="28" t="str"/>
      <x:c r="E30" s="28" t="str"/>
      <x:c r="F30" s="28" t="str"/>
      <x:c r="G30" s="28" t="str"/>
      <x:c r="H30" s="28" t="str"/>
      <x:c r="I30" s="28" t="str"/>
      <x:c r="J30" s="28" t="str"/>
      <x:c r="K30" s="28" t="str"/>
      <x:c r="L30" s="28" t="str"/>
      <x:c r="M30" s="28" t="str"/>
      <x:c r="N30" s="74" t="str"/>
      <x:c r="O30" s="28" t="str"/>
      <x:c r="P30" s="28" t="str"/>
      <x:c r="Q30" s="28" t="str"/>
      <x:c r="R30" s="28" t="str"/>
      <x:c r="S30" s="28" t="str"/>
      <x:c r="T30" s="28" t="str"/>
      <x:c r="U30" s="28" t="str"/>
      <x:c r="V30" s="28" t="str"/>
      <x:c r="W30" s="28" t="str"/>
      <x:c r="X30" s="28" t="str"/>
      <x:c r="Y30" s="28" t="str"/>
      <x:c r="Z30" s="28" t="str"/>
      <x:c r="AA30" s="28" t="str"/>
      <x:c r="AB30" s="28" t="n">
        <x:f>SUMPRODUCT(--(P30:AA30&lt;&gt;""),--(P$5:AA$5&lt;=$D$2))</x:f>
        <x:v>0</x:v>
      </x:c>
      <x:c r="AC30" s="28" t="n">
        <x:f>SUMPRODUCT(--(P30:AA30="Ejecutado"),--(P$5:AA$5&lt;=$D$2))</x:f>
        <x:v>0</x:v>
      </x:c>
      <x:c r="AD30" s="75" t="n">
        <x:f>IF(AB30=0,0,AC30/AB30)</x:f>
        <x:v>0</x:v>
      </x:c>
      <x:c r="AE30" s="28" t="str">
        <x:f>IF(AD30=1,"Cumplida",IF(AD30&gt;=0.8,"Cumplida con ajustes",IF(AD30&gt;0,"En ejecución","Pendiente")))</x:f>
        <x:v>Pendiente</x:v>
      </x:c>
    </x:row>
    <x:row r="31" ht="20" customHeight="1">
      <x:c r="A31" s="28" t="str"/>
      <x:c r="B31" s="28" t="n">
        <x:v>2026</x:v>
      </x:c>
      <x:c r="C31" s="28" t="str"/>
      <x:c r="D31" s="28" t="str"/>
      <x:c r="E31" s="28" t="str"/>
      <x:c r="F31" s="28" t="str"/>
      <x:c r="G31" s="28" t="str"/>
      <x:c r="H31" s="28" t="str"/>
      <x:c r="I31" s="28" t="str"/>
      <x:c r="J31" s="28" t="str"/>
      <x:c r="K31" s="28" t="str"/>
      <x:c r="L31" s="28" t="str"/>
      <x:c r="M31" s="28" t="str"/>
      <x:c r="N31" s="74" t="str"/>
      <x:c r="O31" s="28" t="str"/>
      <x:c r="P31" s="28" t="str"/>
      <x:c r="Q31" s="28" t="str"/>
      <x:c r="R31" s="28" t="str"/>
      <x:c r="S31" s="28" t="str"/>
      <x:c r="T31" s="28" t="str"/>
      <x:c r="U31" s="28" t="str"/>
      <x:c r="V31" s="28" t="str"/>
      <x:c r="W31" s="28" t="str"/>
      <x:c r="X31" s="28" t="str"/>
      <x:c r="Y31" s="28" t="str"/>
      <x:c r="Z31" s="28" t="str"/>
      <x:c r="AA31" s="28" t="str"/>
      <x:c r="AB31" s="28" t="n">
        <x:f>SUMPRODUCT(--(P31:AA31&lt;&gt;""),--(P$5:AA$5&lt;=$D$2))</x:f>
        <x:v>0</x:v>
      </x:c>
      <x:c r="AC31" s="28" t="n">
        <x:f>SUMPRODUCT(--(P31:AA31="Ejecutado"),--(P$5:AA$5&lt;=$D$2))</x:f>
        <x:v>0</x:v>
      </x:c>
      <x:c r="AD31" s="75" t="n">
        <x:f>IF(AB31=0,0,AC31/AB31)</x:f>
        <x:v>0</x:v>
      </x:c>
      <x:c r="AE31" s="28" t="str">
        <x:f>IF(AD31=1,"Cumplida",IF(AD31&gt;=0.8,"Cumplida con ajustes",IF(AD31&gt;0,"En ejecución","Pendiente")))</x:f>
        <x:v>Pendiente</x:v>
      </x:c>
    </x:row>
    <x:row r="32" ht="20" customHeight="1">
      <x:c r="A32" s="28" t="str"/>
      <x:c r="B32" s="28" t="n">
        <x:v>2026</x:v>
      </x:c>
      <x:c r="C32" s="28" t="str"/>
      <x:c r="D32" s="28" t="str"/>
      <x:c r="E32" s="28" t="str"/>
      <x:c r="F32" s="28" t="str"/>
      <x:c r="G32" s="28" t="str"/>
      <x:c r="H32" s="28" t="str"/>
      <x:c r="I32" s="28" t="str"/>
      <x:c r="J32" s="28" t="str"/>
      <x:c r="K32" s="28" t="str"/>
      <x:c r="L32" s="28" t="str"/>
      <x:c r="M32" s="28" t="str"/>
      <x:c r="N32" s="74" t="str"/>
      <x:c r="O32" s="28" t="str"/>
      <x:c r="P32" s="28" t="str"/>
      <x:c r="Q32" s="28" t="str"/>
      <x:c r="R32" s="28" t="str"/>
      <x:c r="S32" s="28" t="str"/>
      <x:c r="T32" s="28" t="str"/>
      <x:c r="U32" s="28" t="str"/>
      <x:c r="V32" s="28" t="str"/>
      <x:c r="W32" s="28" t="str"/>
      <x:c r="X32" s="28" t="str"/>
      <x:c r="Y32" s="28" t="str"/>
      <x:c r="Z32" s="28" t="str"/>
      <x:c r="AA32" s="28" t="str"/>
      <x:c r="AB32" s="28" t="n">
        <x:f>SUMPRODUCT(--(P32:AA32&lt;&gt;""),--(P$5:AA$5&lt;=$D$2))</x:f>
        <x:v>0</x:v>
      </x:c>
      <x:c r="AC32" s="28" t="n">
        <x:f>SUMPRODUCT(--(P32:AA32="Ejecutado"),--(P$5:AA$5&lt;=$D$2))</x:f>
        <x:v>0</x:v>
      </x:c>
      <x:c r="AD32" s="75" t="n">
        <x:f>IF(AB32=0,0,AC32/AB32)</x:f>
        <x:v>0</x:v>
      </x:c>
      <x:c r="AE32" s="28" t="str">
        <x:f>IF(AD32=1,"Cumplida",IF(AD32&gt;=0.8,"Cumplida con ajustes",IF(AD32&gt;0,"En ejecución","Pendiente")))</x:f>
        <x:v>Pendiente</x:v>
      </x:c>
    </x:row>
    <x:row r="33" ht="20" customHeight="1">
      <x:c r="A33" s="28" t="str"/>
      <x:c r="B33" s="28" t="n">
        <x:v>2026</x:v>
      </x:c>
      <x:c r="C33" s="28" t="str"/>
      <x:c r="D33" s="28" t="str"/>
      <x:c r="E33" s="28" t="str"/>
      <x:c r="F33" s="28" t="str"/>
      <x:c r="G33" s="28" t="str"/>
      <x:c r="H33" s="28" t="str"/>
      <x:c r="I33" s="28" t="str"/>
      <x:c r="J33" s="28" t="str"/>
      <x:c r="K33" s="28" t="str"/>
      <x:c r="L33" s="28" t="str"/>
      <x:c r="M33" s="28" t="str"/>
      <x:c r="N33" s="74" t="str"/>
      <x:c r="O33" s="28" t="str"/>
      <x:c r="P33" s="28" t="str"/>
      <x:c r="Q33" s="28" t="str"/>
      <x:c r="R33" s="28" t="str"/>
      <x:c r="S33" s="28" t="str"/>
      <x:c r="T33" s="28" t="str"/>
      <x:c r="U33" s="28" t="str"/>
      <x:c r="V33" s="28" t="str"/>
      <x:c r="W33" s="28" t="str"/>
      <x:c r="X33" s="28" t="str"/>
      <x:c r="Y33" s="28" t="str"/>
      <x:c r="Z33" s="28" t="str"/>
      <x:c r="AA33" s="28" t="str"/>
      <x:c r="AB33" s="28" t="n">
        <x:f>SUMPRODUCT(--(P33:AA33&lt;&gt;""),--(P$5:AA$5&lt;=$D$2))</x:f>
        <x:v>0</x:v>
      </x:c>
      <x:c r="AC33" s="28" t="n">
        <x:f>SUMPRODUCT(--(P33:AA33="Ejecutado"),--(P$5:AA$5&lt;=$D$2))</x:f>
        <x:v>0</x:v>
      </x:c>
      <x:c r="AD33" s="75" t="n">
        <x:f>IF(AB33=0,0,AC33/AB33)</x:f>
        <x:v>0</x:v>
      </x:c>
      <x:c r="AE33" s="28" t="str">
        <x:f>IF(AD33=1,"Cumplida",IF(AD33&gt;=0.8,"Cumplida con ajustes",IF(AD33&gt;0,"En ejecución","Pendiente")))</x:f>
        <x:v>Pendiente</x:v>
      </x:c>
    </x:row>
    <x:row r="34" ht="20" customHeight="1">
      <x:c r="A34" s="28" t="str"/>
      <x:c r="B34" s="28" t="n">
        <x:v>2026</x:v>
      </x:c>
      <x:c r="C34" s="28" t="str"/>
      <x:c r="D34" s="28" t="str"/>
      <x:c r="E34" s="28" t="str"/>
      <x:c r="F34" s="28" t="str"/>
      <x:c r="G34" s="28" t="str"/>
      <x:c r="H34" s="28" t="str"/>
      <x:c r="I34" s="28" t="str"/>
      <x:c r="J34" s="28" t="str"/>
      <x:c r="K34" s="28" t="str"/>
      <x:c r="L34" s="28" t="str"/>
      <x:c r="M34" s="28" t="str"/>
      <x:c r="N34" s="74" t="str"/>
      <x:c r="O34" s="28" t="str"/>
      <x:c r="P34" s="28" t="str"/>
      <x:c r="Q34" s="28" t="str"/>
      <x:c r="R34" s="28" t="str"/>
      <x:c r="S34" s="28" t="str"/>
      <x:c r="T34" s="28" t="str"/>
      <x:c r="U34" s="28" t="str"/>
      <x:c r="V34" s="28" t="str"/>
      <x:c r="W34" s="28" t="str"/>
      <x:c r="X34" s="28" t="str"/>
      <x:c r="Y34" s="28" t="str"/>
      <x:c r="Z34" s="28" t="str"/>
      <x:c r="AA34" s="28" t="str"/>
      <x:c r="AB34" s="28" t="n">
        <x:f>SUMPRODUCT(--(P34:AA34&lt;&gt;""),--(P$5:AA$5&lt;=$D$2))</x:f>
        <x:v>0</x:v>
      </x:c>
      <x:c r="AC34" s="28" t="n">
        <x:f>SUMPRODUCT(--(P34:AA34="Ejecutado"),--(P$5:AA$5&lt;=$D$2))</x:f>
        <x:v>0</x:v>
      </x:c>
      <x:c r="AD34" s="75" t="n">
        <x:f>IF(AB34=0,0,AC34/AB34)</x:f>
        <x:v>0</x:v>
      </x:c>
      <x:c r="AE34" s="28" t="str">
        <x:f>IF(AD34=1,"Cumplida",IF(AD34&gt;=0.8,"Cumplida con ajustes",IF(AD34&gt;0,"En ejecución","Pendiente")))</x:f>
        <x:v>Pendiente</x:v>
      </x:c>
    </x:row>
    <x:row r="35" ht="20" customHeight="1">
      <x:c r="A35" s="28" t="str"/>
      <x:c r="B35" s="28" t="n">
        <x:v>2026</x:v>
      </x:c>
      <x:c r="C35" s="28" t="str"/>
      <x:c r="D35" s="28" t="str"/>
      <x:c r="E35" s="28" t="str"/>
      <x:c r="F35" s="28" t="str"/>
      <x:c r="G35" s="28" t="str"/>
      <x:c r="H35" s="28" t="str"/>
      <x:c r="I35" s="28" t="str"/>
      <x:c r="J35" s="28" t="str"/>
      <x:c r="K35" s="28" t="str"/>
      <x:c r="L35" s="28" t="str"/>
      <x:c r="M35" s="28" t="str"/>
      <x:c r="N35" s="74" t="str"/>
      <x:c r="O35" s="28" t="str"/>
      <x:c r="P35" s="28" t="str"/>
      <x:c r="Q35" s="28" t="str"/>
      <x:c r="R35" s="28" t="str"/>
      <x:c r="S35" s="28" t="str"/>
      <x:c r="T35" s="28" t="str"/>
      <x:c r="U35" s="28" t="str"/>
      <x:c r="V35" s="28" t="str"/>
      <x:c r="W35" s="28" t="str"/>
      <x:c r="X35" s="28" t="str"/>
      <x:c r="Y35" s="28" t="str"/>
      <x:c r="Z35" s="28" t="str"/>
      <x:c r="AA35" s="28" t="str"/>
      <x:c r="AB35" s="28" t="n">
        <x:f>SUMPRODUCT(--(P35:AA35&lt;&gt;""),--(P$5:AA$5&lt;=$D$2))</x:f>
        <x:v>0</x:v>
      </x:c>
      <x:c r="AC35" s="28" t="n">
        <x:f>SUMPRODUCT(--(P35:AA35="Ejecutado"),--(P$5:AA$5&lt;=$D$2))</x:f>
        <x:v>0</x:v>
      </x:c>
      <x:c r="AD35" s="75" t="n">
        <x:f>IF(AB35=0,0,AC35/AB35)</x:f>
        <x:v>0</x:v>
      </x:c>
      <x:c r="AE35" s="28" t="str">
        <x:f>IF(AD35=1,"Cumplida",IF(AD35&gt;=0.8,"Cumplida con ajustes",IF(AD35&gt;0,"En ejecución","Pendiente")))</x:f>
        <x:v>Pendiente</x:v>
      </x:c>
    </x:row>
    <x:row r="36" ht="20" customHeight="1">
      <x:c r="A36" s="28" t="str"/>
      <x:c r="B36" s="28" t="n">
        <x:v>2026</x:v>
      </x:c>
      <x:c r="C36" s="28" t="str"/>
      <x:c r="D36" s="28" t="str"/>
      <x:c r="E36" s="28" t="str"/>
      <x:c r="F36" s="28" t="str"/>
      <x:c r="G36" s="28" t="str"/>
      <x:c r="H36" s="28" t="str"/>
      <x:c r="I36" s="28" t="str"/>
      <x:c r="J36" s="28" t="str"/>
      <x:c r="K36" s="28" t="str"/>
      <x:c r="L36" s="28" t="str"/>
      <x:c r="M36" s="28" t="str"/>
      <x:c r="N36" s="74" t="str"/>
      <x:c r="O36" s="28" t="str"/>
      <x:c r="P36" s="28" t="str"/>
      <x:c r="Q36" s="28" t="str"/>
      <x:c r="R36" s="28" t="str"/>
      <x:c r="S36" s="28" t="str"/>
      <x:c r="T36" s="28" t="str"/>
      <x:c r="U36" s="28" t="str"/>
      <x:c r="V36" s="28" t="str"/>
      <x:c r="W36" s="28" t="str"/>
      <x:c r="X36" s="28" t="str"/>
      <x:c r="Y36" s="28" t="str"/>
      <x:c r="Z36" s="28" t="str"/>
      <x:c r="AA36" s="28" t="str"/>
      <x:c r="AB36" s="28" t="n">
        <x:f>SUMPRODUCT(--(P36:AA36&lt;&gt;""),--(P$5:AA$5&lt;=$D$2))</x:f>
        <x:v>0</x:v>
      </x:c>
      <x:c r="AC36" s="28" t="n">
        <x:f>SUMPRODUCT(--(P36:AA36="Ejecutado"),--(P$5:AA$5&lt;=$D$2))</x:f>
        <x:v>0</x:v>
      </x:c>
      <x:c r="AD36" s="75" t="n">
        <x:f>IF(AB36=0,0,AC36/AB36)</x:f>
        <x:v>0</x:v>
      </x:c>
      <x:c r="AE36" s="28" t="str">
        <x:f>IF(AD36=1,"Cumplida",IF(AD36&gt;=0.8,"Cumplida con ajustes",IF(AD36&gt;0,"En ejecución","Pendiente")))</x:f>
        <x:v>Pendiente</x:v>
      </x:c>
    </x:row>
    <x:row r="37" ht="20" customHeight="1">
      <x:c r="A37" s="28" t="str"/>
      <x:c r="B37" s="28" t="n">
        <x:v>2026</x:v>
      </x:c>
      <x:c r="C37" s="28" t="str"/>
      <x:c r="D37" s="28" t="str"/>
      <x:c r="E37" s="28" t="str"/>
      <x:c r="F37" s="28" t="str"/>
      <x:c r="G37" s="28" t="str"/>
      <x:c r="H37" s="28" t="str"/>
      <x:c r="I37" s="28" t="str"/>
      <x:c r="J37" s="28" t="str"/>
      <x:c r="K37" s="28" t="str"/>
      <x:c r="L37" s="28" t="str"/>
      <x:c r="M37" s="28" t="str"/>
      <x:c r="N37" s="74" t="str"/>
      <x:c r="O37" s="28" t="str"/>
      <x:c r="P37" s="28" t="str"/>
      <x:c r="Q37" s="28" t="str"/>
      <x:c r="R37" s="28" t="str"/>
      <x:c r="S37" s="28" t="str"/>
      <x:c r="T37" s="28" t="str"/>
      <x:c r="U37" s="28" t="str"/>
      <x:c r="V37" s="28" t="str"/>
      <x:c r="W37" s="28" t="str"/>
      <x:c r="X37" s="28" t="str"/>
      <x:c r="Y37" s="28" t="str"/>
      <x:c r="Z37" s="28" t="str"/>
      <x:c r="AA37" s="28" t="str"/>
      <x:c r="AB37" s="28" t="n">
        <x:f>SUMPRODUCT(--(P37:AA37&lt;&gt;""),--(P$5:AA$5&lt;=$D$2))</x:f>
        <x:v>0</x:v>
      </x:c>
      <x:c r="AC37" s="28" t="n">
        <x:f>SUMPRODUCT(--(P37:AA37="Ejecutado"),--(P$5:AA$5&lt;=$D$2))</x:f>
        <x:v>0</x:v>
      </x:c>
      <x:c r="AD37" s="75" t="n">
        <x:f>IF(AB37=0,0,AC37/AB37)</x:f>
        <x:v>0</x:v>
      </x:c>
      <x:c r="AE37" s="28" t="str">
        <x:f>IF(AD37=1,"Cumplida",IF(AD37&gt;=0.8,"Cumplida con ajustes",IF(AD37&gt;0,"En ejecución","Pendiente")))</x:f>
        <x:v>Pendiente</x:v>
      </x:c>
    </x:row>
    <x:row r="38" ht="20" customHeight="1">
      <x:c r="A38" s="28" t="str"/>
      <x:c r="B38" s="28" t="n">
        <x:v>2026</x:v>
      </x:c>
      <x:c r="C38" s="28" t="str"/>
      <x:c r="D38" s="28" t="str"/>
      <x:c r="E38" s="28" t="str"/>
      <x:c r="F38" s="28" t="str"/>
      <x:c r="G38" s="28" t="str"/>
      <x:c r="H38" s="28" t="str"/>
      <x:c r="I38" s="28" t="str"/>
      <x:c r="J38" s="28" t="str"/>
      <x:c r="K38" s="28" t="str"/>
      <x:c r="L38" s="28" t="str"/>
      <x:c r="M38" s="28" t="str"/>
      <x:c r="N38" s="74" t="str"/>
      <x:c r="O38" s="28" t="str"/>
      <x:c r="P38" s="28" t="str"/>
      <x:c r="Q38" s="28" t="str"/>
      <x:c r="R38" s="28" t="str"/>
      <x:c r="S38" s="28" t="str"/>
      <x:c r="T38" s="28" t="str"/>
      <x:c r="U38" s="28" t="str"/>
      <x:c r="V38" s="28" t="str"/>
      <x:c r="W38" s="28" t="str"/>
      <x:c r="X38" s="28" t="str"/>
      <x:c r="Y38" s="28" t="str"/>
      <x:c r="Z38" s="28" t="str"/>
      <x:c r="AA38" s="28" t="str"/>
      <x:c r="AB38" s="28" t="n">
        <x:f>SUMPRODUCT(--(P38:AA38&lt;&gt;""),--(P$5:AA$5&lt;=$D$2))</x:f>
        <x:v>0</x:v>
      </x:c>
      <x:c r="AC38" s="28" t="n">
        <x:f>SUMPRODUCT(--(P38:AA38="Ejecutado"),--(P$5:AA$5&lt;=$D$2))</x:f>
        <x:v>0</x:v>
      </x:c>
      <x:c r="AD38" s="75" t="n">
        <x:f>IF(AB38=0,0,AC38/AB38)</x:f>
        <x:v>0</x:v>
      </x:c>
      <x:c r="AE38" s="28" t="str">
        <x:f>IF(AD38=1,"Cumplida",IF(AD38&gt;=0.8,"Cumplida con ajustes",IF(AD38&gt;0,"En ejecución","Pendiente")))</x:f>
        <x:v>Pendiente</x:v>
      </x:c>
    </x:row>
    <x:row r="39" ht="20" customHeight="1">
      <x:c r="A39" s="28" t="str"/>
      <x:c r="B39" s="28" t="n">
        <x:v>2026</x:v>
      </x:c>
      <x:c r="C39" s="28" t="str"/>
      <x:c r="D39" s="28" t="str"/>
      <x:c r="E39" s="28" t="str"/>
      <x:c r="F39" s="28" t="str"/>
      <x:c r="G39" s="28" t="str"/>
      <x:c r="H39" s="28" t="str"/>
      <x:c r="I39" s="28" t="str"/>
      <x:c r="J39" s="28" t="str"/>
      <x:c r="K39" s="28" t="str"/>
      <x:c r="L39" s="28" t="str"/>
      <x:c r="M39" s="28" t="str"/>
      <x:c r="N39" s="74" t="str"/>
      <x:c r="O39" s="28" t="str"/>
      <x:c r="P39" s="28" t="str"/>
      <x:c r="Q39" s="28" t="str"/>
      <x:c r="R39" s="28" t="str"/>
      <x:c r="S39" s="28" t="str"/>
      <x:c r="T39" s="28" t="str"/>
      <x:c r="U39" s="28" t="str"/>
      <x:c r="V39" s="28" t="str"/>
      <x:c r="W39" s="28" t="str"/>
      <x:c r="X39" s="28" t="str"/>
      <x:c r="Y39" s="28" t="str"/>
      <x:c r="Z39" s="28" t="str"/>
      <x:c r="AA39" s="28" t="str"/>
      <x:c r="AB39" s="28" t="n">
        <x:f>SUMPRODUCT(--(P39:AA39&lt;&gt;""),--(P$5:AA$5&lt;=$D$2))</x:f>
        <x:v>0</x:v>
      </x:c>
      <x:c r="AC39" s="28" t="n">
        <x:f>SUMPRODUCT(--(P39:AA39="Ejecutado"),--(P$5:AA$5&lt;=$D$2))</x:f>
        <x:v>0</x:v>
      </x:c>
      <x:c r="AD39" s="75" t="n">
        <x:f>IF(AB39=0,0,AC39/AB39)</x:f>
        <x:v>0</x:v>
      </x:c>
      <x:c r="AE39" s="28" t="str">
        <x:f>IF(AD39=1,"Cumplida",IF(AD39&gt;=0.8,"Cumplida con ajustes",IF(AD39&gt;0,"En ejecución","Pendiente")))</x:f>
        <x:v>Pendiente</x:v>
      </x:c>
    </x:row>
    <x:row r="40" ht="20" customHeight="1">
      <x:c r="A40" s="28" t="str"/>
      <x:c r="B40" s="28" t="n">
        <x:v>2026</x:v>
      </x:c>
      <x:c r="C40" s="28" t="str"/>
      <x:c r="D40" s="28" t="str"/>
      <x:c r="E40" s="28" t="str"/>
      <x:c r="F40" s="28" t="str"/>
      <x:c r="G40" s="28" t="str"/>
      <x:c r="H40" s="28" t="str"/>
      <x:c r="I40" s="28" t="str"/>
      <x:c r="J40" s="28" t="str"/>
      <x:c r="K40" s="28" t="str"/>
      <x:c r="L40" s="28" t="str"/>
      <x:c r="M40" s="28" t="str"/>
      <x:c r="N40" s="74" t="str"/>
      <x:c r="O40" s="28" t="str"/>
      <x:c r="P40" s="28" t="str"/>
      <x:c r="Q40" s="28" t="str"/>
      <x:c r="R40" s="28" t="str"/>
      <x:c r="S40" s="28" t="str"/>
      <x:c r="T40" s="28" t="str"/>
      <x:c r="U40" s="28" t="str"/>
      <x:c r="V40" s="28" t="str"/>
      <x:c r="W40" s="28" t="str"/>
      <x:c r="X40" s="28" t="str"/>
      <x:c r="Y40" s="28" t="str"/>
      <x:c r="Z40" s="28" t="str"/>
      <x:c r="AA40" s="28" t="str"/>
      <x:c r="AB40" s="28" t="n">
        <x:f>SUMPRODUCT(--(P40:AA40&lt;&gt;""),--(P$5:AA$5&lt;=$D$2))</x:f>
        <x:v>0</x:v>
      </x:c>
      <x:c r="AC40" s="28" t="n">
        <x:f>SUMPRODUCT(--(P40:AA40="Ejecutado"),--(P$5:AA$5&lt;=$D$2))</x:f>
        <x:v>0</x:v>
      </x:c>
      <x:c r="AD40" s="75" t="n">
        <x:f>IF(AB40=0,0,AC40/AB40)</x:f>
        <x:v>0</x:v>
      </x:c>
      <x:c r="AE40" s="28" t="str">
        <x:f>IF(AD40=1,"Cumplida",IF(AD40&gt;=0.8,"Cumplida con ajustes",IF(AD40&gt;0,"En ejecución","Pendiente")))</x:f>
        <x:v>Pendiente</x:v>
      </x:c>
    </x:row>
    <x:row r="41" ht="20" customHeight="1">
      <x:c r="A41" s="28" t="str"/>
      <x:c r="B41" s="28" t="n">
        <x:v>2026</x:v>
      </x:c>
      <x:c r="C41" s="28" t="str"/>
      <x:c r="D41" s="28" t="str"/>
      <x:c r="E41" s="28" t="str"/>
      <x:c r="F41" s="28" t="str"/>
      <x:c r="G41" s="28" t="str"/>
      <x:c r="H41" s="28" t="str"/>
      <x:c r="I41" s="28" t="str"/>
      <x:c r="J41" s="28" t="str"/>
      <x:c r="K41" s="28" t="str"/>
      <x:c r="L41" s="28" t="str"/>
      <x:c r="M41" s="28" t="str"/>
      <x:c r="N41" s="74" t="str"/>
      <x:c r="O41" s="28" t="str"/>
      <x:c r="P41" s="28" t="str"/>
      <x:c r="Q41" s="28" t="str"/>
      <x:c r="R41" s="28" t="str"/>
      <x:c r="S41" s="28" t="str"/>
      <x:c r="T41" s="28" t="str"/>
      <x:c r="U41" s="28" t="str"/>
      <x:c r="V41" s="28" t="str"/>
      <x:c r="W41" s="28" t="str"/>
      <x:c r="X41" s="28" t="str"/>
      <x:c r="Y41" s="28" t="str"/>
      <x:c r="Z41" s="28" t="str"/>
      <x:c r="AA41" s="28" t="str"/>
      <x:c r="AB41" s="28" t="n">
        <x:f>SUMPRODUCT(--(P41:AA41&lt;&gt;""),--(P$5:AA$5&lt;=$D$2))</x:f>
        <x:v>0</x:v>
      </x:c>
      <x:c r="AC41" s="28" t="n">
        <x:f>SUMPRODUCT(--(P41:AA41="Ejecutado"),--(P$5:AA$5&lt;=$D$2))</x:f>
        <x:v>0</x:v>
      </x:c>
      <x:c r="AD41" s="75" t="n">
        <x:f>IF(AB41=0,0,AC41/AB41)</x:f>
        <x:v>0</x:v>
      </x:c>
      <x:c r="AE41" s="28" t="str">
        <x:f>IF(AD41=1,"Cumplida",IF(AD41&gt;=0.8,"Cumplida con ajustes",IF(AD41&gt;0,"En ejecución","Pendiente")))</x:f>
        <x:v>Pendiente</x:v>
      </x:c>
    </x:row>
    <x:row r="42" ht="20" customHeight="1">
      <x:c r="A42" s="28" t="str"/>
      <x:c r="B42" s="28" t="n">
        <x:v>2026</x:v>
      </x:c>
      <x:c r="C42" s="28" t="str"/>
      <x:c r="D42" s="28" t="str"/>
      <x:c r="E42" s="28" t="str"/>
      <x:c r="F42" s="28" t="str"/>
      <x:c r="G42" s="28" t="str"/>
      <x:c r="H42" s="28" t="str"/>
      <x:c r="I42" s="28" t="str"/>
      <x:c r="J42" s="28" t="str"/>
      <x:c r="K42" s="28" t="str"/>
      <x:c r="L42" s="28" t="str"/>
      <x:c r="M42" s="28" t="str"/>
      <x:c r="N42" s="74" t="str"/>
      <x:c r="O42" s="28" t="str"/>
      <x:c r="P42" s="28" t="str"/>
      <x:c r="Q42" s="28" t="str"/>
      <x:c r="R42" s="28" t="str"/>
      <x:c r="S42" s="28" t="str"/>
      <x:c r="T42" s="28" t="str"/>
      <x:c r="U42" s="28" t="str"/>
      <x:c r="V42" s="28" t="str"/>
      <x:c r="W42" s="28" t="str"/>
      <x:c r="X42" s="28" t="str"/>
      <x:c r="Y42" s="28" t="str"/>
      <x:c r="Z42" s="28" t="str"/>
      <x:c r="AA42" s="28" t="str"/>
      <x:c r="AB42" s="28" t="n">
        <x:f>SUMPRODUCT(--(P42:AA42&lt;&gt;""),--(P$5:AA$5&lt;=$D$2))</x:f>
        <x:v>0</x:v>
      </x:c>
      <x:c r="AC42" s="28" t="n">
        <x:f>SUMPRODUCT(--(P42:AA42="Ejecutado"),--(P$5:AA$5&lt;=$D$2))</x:f>
        <x:v>0</x:v>
      </x:c>
      <x:c r="AD42" s="75" t="n">
        <x:f>IF(AB42=0,0,AC42/AB42)</x:f>
        <x:v>0</x:v>
      </x:c>
      <x:c r="AE42" s="28" t="str">
        <x:f>IF(AD42=1,"Cumplida",IF(AD42&gt;=0.8,"Cumplida con ajustes",IF(AD42&gt;0,"En ejecución","Pendiente")))</x:f>
        <x:v>Pendiente</x:v>
      </x:c>
    </x:row>
    <x:row r="43" ht="20" customHeight="1">
      <x:c r="A43" s="28" t="str"/>
      <x:c r="B43" s="28" t="n">
        <x:v>2026</x:v>
      </x:c>
      <x:c r="C43" s="28" t="str"/>
      <x:c r="D43" s="28" t="str"/>
      <x:c r="E43" s="28" t="str"/>
      <x:c r="F43" s="28" t="str"/>
      <x:c r="G43" s="28" t="str"/>
      <x:c r="H43" s="28" t="str"/>
      <x:c r="I43" s="28" t="str"/>
      <x:c r="J43" s="28" t="str"/>
      <x:c r="K43" s="28" t="str"/>
      <x:c r="L43" s="28" t="str"/>
      <x:c r="M43" s="28" t="str"/>
      <x:c r="N43" s="74" t="str"/>
      <x:c r="O43" s="28" t="str"/>
      <x:c r="P43" s="28" t="str"/>
      <x:c r="Q43" s="28" t="str"/>
      <x:c r="R43" s="28" t="str"/>
      <x:c r="S43" s="28" t="str"/>
      <x:c r="T43" s="28" t="str"/>
      <x:c r="U43" s="28" t="str"/>
      <x:c r="V43" s="28" t="str"/>
      <x:c r="W43" s="28" t="str"/>
      <x:c r="X43" s="28" t="str"/>
      <x:c r="Y43" s="28" t="str"/>
      <x:c r="Z43" s="28" t="str"/>
      <x:c r="AA43" s="28" t="str"/>
      <x:c r="AB43" s="28" t="n">
        <x:f>SUMPRODUCT(--(P43:AA43&lt;&gt;""),--(P$5:AA$5&lt;=$D$2))</x:f>
        <x:v>0</x:v>
      </x:c>
      <x:c r="AC43" s="28" t="n">
        <x:f>SUMPRODUCT(--(P43:AA43="Ejecutado"),--(P$5:AA$5&lt;=$D$2))</x:f>
        <x:v>0</x:v>
      </x:c>
      <x:c r="AD43" s="75" t="n">
        <x:f>IF(AB43=0,0,AC43/AB43)</x:f>
        <x:v>0</x:v>
      </x:c>
      <x:c r="AE43" s="28" t="str">
        <x:f>IF(AD43=1,"Cumplida",IF(AD43&gt;=0.8,"Cumplida con ajustes",IF(AD43&gt;0,"En ejecución","Pendiente")))</x:f>
        <x:v>Pendiente</x:v>
      </x:c>
    </x:row>
    <x:row r="44" ht="20" customHeight="1">
      <x:c r="A44" s="28" t="str"/>
      <x:c r="B44" s="28" t="n">
        <x:v>2026</x:v>
      </x:c>
      <x:c r="C44" s="28" t="str"/>
      <x:c r="D44" s="28" t="str"/>
      <x:c r="E44" s="28" t="str"/>
      <x:c r="F44" s="28" t="str"/>
      <x:c r="G44" s="28" t="str"/>
      <x:c r="H44" s="28" t="str"/>
      <x:c r="I44" s="28" t="str"/>
      <x:c r="J44" s="28" t="str"/>
      <x:c r="K44" s="28" t="str"/>
      <x:c r="L44" s="28" t="str"/>
      <x:c r="M44" s="28" t="str"/>
      <x:c r="N44" s="74" t="str"/>
      <x:c r="O44" s="28" t="str"/>
      <x:c r="P44" s="28" t="str"/>
      <x:c r="Q44" s="28" t="str"/>
      <x:c r="R44" s="28" t="str"/>
      <x:c r="S44" s="28" t="str"/>
      <x:c r="T44" s="28" t="str"/>
      <x:c r="U44" s="28" t="str"/>
      <x:c r="V44" s="28" t="str"/>
      <x:c r="W44" s="28" t="str"/>
      <x:c r="X44" s="28" t="str"/>
      <x:c r="Y44" s="28" t="str"/>
      <x:c r="Z44" s="28" t="str"/>
      <x:c r="AA44" s="28" t="str"/>
      <x:c r="AB44" s="28" t="n">
        <x:f>SUMPRODUCT(--(P44:AA44&lt;&gt;""),--(P$5:AA$5&lt;=$D$2))</x:f>
        <x:v>0</x:v>
      </x:c>
      <x:c r="AC44" s="28" t="n">
        <x:f>SUMPRODUCT(--(P44:AA44="Ejecutado"),--(P$5:AA$5&lt;=$D$2))</x:f>
        <x:v>0</x:v>
      </x:c>
      <x:c r="AD44" s="75" t="n">
        <x:f>IF(AB44=0,0,AC44/AB44)</x:f>
        <x:v>0</x:v>
      </x:c>
      <x:c r="AE44" s="28" t="str">
        <x:f>IF(AD44=1,"Cumplida",IF(AD44&gt;=0.8,"Cumplida con ajustes",IF(AD44&gt;0,"En ejecución","Pendiente")))</x:f>
        <x:v>Pendiente</x:v>
      </x:c>
    </x:row>
    <x:row r="45" ht="20" customHeight="1">
      <x:c r="A45" s="28" t="str"/>
      <x:c r="B45" s="28" t="n">
        <x:v>2026</x:v>
      </x:c>
      <x:c r="C45" s="28" t="str"/>
      <x:c r="D45" s="28" t="str"/>
      <x:c r="E45" s="28" t="str"/>
      <x:c r="F45" s="28" t="str"/>
      <x:c r="G45" s="28" t="str"/>
      <x:c r="H45" s="28" t="str"/>
      <x:c r="I45" s="28" t="str"/>
      <x:c r="J45" s="28" t="str"/>
      <x:c r="K45" s="28" t="str"/>
      <x:c r="L45" s="28" t="str"/>
      <x:c r="M45" s="28" t="str"/>
      <x:c r="N45" s="74" t="str"/>
      <x:c r="O45" s="28" t="str"/>
      <x:c r="P45" s="28" t="str"/>
      <x:c r="Q45" s="28" t="str"/>
      <x:c r="R45" s="28" t="str"/>
      <x:c r="S45" s="28" t="str"/>
      <x:c r="T45" s="28" t="str"/>
      <x:c r="U45" s="28" t="str"/>
      <x:c r="V45" s="28" t="str"/>
      <x:c r="W45" s="28" t="str"/>
      <x:c r="X45" s="28" t="str"/>
      <x:c r="Y45" s="28" t="str"/>
      <x:c r="Z45" s="28" t="str"/>
      <x:c r="AA45" s="28" t="str"/>
      <x:c r="AB45" s="28" t="n">
        <x:f>SUMPRODUCT(--(P45:AA45&lt;&gt;""),--(P$5:AA$5&lt;=$D$2))</x:f>
        <x:v>0</x:v>
      </x:c>
      <x:c r="AC45" s="28" t="n">
        <x:f>SUMPRODUCT(--(P45:AA45="Ejecutado"),--(P$5:AA$5&lt;=$D$2))</x:f>
        <x:v>0</x:v>
      </x:c>
      <x:c r="AD45" s="75" t="n">
        <x:f>IF(AB45=0,0,AC45/AB45)</x:f>
        <x:v>0</x:v>
      </x:c>
      <x:c r="AE45" s="28" t="str">
        <x:f>IF(AD45=1,"Cumplida",IF(AD45&gt;=0.8,"Cumplida con ajustes",IF(AD45&gt;0,"En ejecución","Pendiente")))</x:f>
        <x:v>Pendiente</x:v>
      </x:c>
    </x:row>
    <x:row r="46" ht="20" customHeight="1">
      <x:c r="A46" s="28" t="str"/>
      <x:c r="B46" s="28" t="n">
        <x:v>2026</x:v>
      </x:c>
      <x:c r="C46" s="28" t="str"/>
      <x:c r="D46" s="28" t="str"/>
      <x:c r="E46" s="28" t="str"/>
      <x:c r="F46" s="28" t="str"/>
      <x:c r="G46" s="28" t="str"/>
      <x:c r="H46" s="28" t="str"/>
      <x:c r="I46" s="28" t="str"/>
      <x:c r="J46" s="28" t="str"/>
      <x:c r="K46" s="28" t="str"/>
      <x:c r="L46" s="28" t="str"/>
      <x:c r="M46" s="28" t="str"/>
      <x:c r="N46" s="74" t="str"/>
      <x:c r="O46" s="28" t="str"/>
      <x:c r="P46" s="28" t="str"/>
      <x:c r="Q46" s="28" t="str"/>
      <x:c r="R46" s="28" t="str"/>
      <x:c r="S46" s="28" t="str"/>
      <x:c r="T46" s="28" t="str"/>
      <x:c r="U46" s="28" t="str"/>
      <x:c r="V46" s="28" t="str"/>
      <x:c r="W46" s="28" t="str"/>
      <x:c r="X46" s="28" t="str"/>
      <x:c r="Y46" s="28" t="str"/>
      <x:c r="Z46" s="28" t="str"/>
      <x:c r="AA46" s="28" t="str"/>
      <x:c r="AB46" s="28" t="n">
        <x:f>SUMPRODUCT(--(P46:AA46&lt;&gt;""),--(P$5:AA$5&lt;=$D$2))</x:f>
        <x:v>0</x:v>
      </x:c>
      <x:c r="AC46" s="28" t="n">
        <x:f>SUMPRODUCT(--(P46:AA46="Ejecutado"),--(P$5:AA$5&lt;=$D$2))</x:f>
        <x:v>0</x:v>
      </x:c>
      <x:c r="AD46" s="75" t="n">
        <x:f>IF(AB46=0,0,AC46/AB46)</x:f>
        <x:v>0</x:v>
      </x:c>
      <x:c r="AE46" s="28" t="str">
        <x:f>IF(AD46=1,"Cumplida",IF(AD46&gt;=0.8,"Cumplida con ajustes",IF(AD46&gt;0,"En ejecución","Pendiente")))</x:f>
        <x:v>Pendiente</x:v>
      </x:c>
    </x:row>
    <x:row r="47" ht="20" customHeight="1">
      <x:c r="A47" s="28" t="str"/>
      <x:c r="B47" s="28" t="n">
        <x:v>2026</x:v>
      </x:c>
      <x:c r="C47" s="28" t="str"/>
      <x:c r="D47" s="28" t="str"/>
      <x:c r="E47" s="28" t="str"/>
      <x:c r="F47" s="28" t="str"/>
      <x:c r="G47" s="28" t="str"/>
      <x:c r="H47" s="28" t="str"/>
      <x:c r="I47" s="28" t="str"/>
      <x:c r="J47" s="28" t="str"/>
      <x:c r="K47" s="28" t="str"/>
      <x:c r="L47" s="28" t="str"/>
      <x:c r="M47" s="28" t="str"/>
      <x:c r="N47" s="74" t="str"/>
      <x:c r="O47" s="28" t="str"/>
      <x:c r="P47" s="28" t="str"/>
      <x:c r="Q47" s="28" t="str"/>
      <x:c r="R47" s="28" t="str"/>
      <x:c r="S47" s="28" t="str"/>
      <x:c r="T47" s="28" t="str"/>
      <x:c r="U47" s="28" t="str"/>
      <x:c r="V47" s="28" t="str"/>
      <x:c r="W47" s="28" t="str"/>
      <x:c r="X47" s="28" t="str"/>
      <x:c r="Y47" s="28" t="str"/>
      <x:c r="Z47" s="28" t="str"/>
      <x:c r="AA47" s="28" t="str"/>
      <x:c r="AB47" s="28" t="n">
        <x:f>SUMPRODUCT(--(P47:AA47&lt;&gt;""),--(P$5:AA$5&lt;=$D$2))</x:f>
        <x:v>0</x:v>
      </x:c>
      <x:c r="AC47" s="28" t="n">
        <x:f>SUMPRODUCT(--(P47:AA47="Ejecutado"),--(P$5:AA$5&lt;=$D$2))</x:f>
        <x:v>0</x:v>
      </x:c>
      <x:c r="AD47" s="75" t="n">
        <x:f>IF(AB47=0,0,AC47/AB47)</x:f>
        <x:v>0</x:v>
      </x:c>
      <x:c r="AE47" s="28" t="str">
        <x:f>IF(AD47=1,"Cumplida",IF(AD47&gt;=0.8,"Cumplida con ajustes",IF(AD47&gt;0,"En ejecución","Pendiente")))</x:f>
        <x:v>Pendiente</x:v>
      </x:c>
    </x:row>
    <x:row r="48" ht="20" customHeight="1">
      <x:c r="A48" s="28" t="str"/>
      <x:c r="B48" s="28" t="n">
        <x:v>2026</x:v>
      </x:c>
      <x:c r="C48" s="28" t="str"/>
      <x:c r="D48" s="28" t="str"/>
      <x:c r="E48" s="28" t="str"/>
      <x:c r="F48" s="28" t="str"/>
      <x:c r="G48" s="28" t="str"/>
      <x:c r="H48" s="28" t="str"/>
      <x:c r="I48" s="28" t="str"/>
      <x:c r="J48" s="28" t="str"/>
      <x:c r="K48" s="28" t="str"/>
      <x:c r="L48" s="28" t="str"/>
      <x:c r="M48" s="28" t="str"/>
      <x:c r="N48" s="74" t="str"/>
      <x:c r="O48" s="28" t="str"/>
      <x:c r="P48" s="28" t="str"/>
      <x:c r="Q48" s="28" t="str"/>
      <x:c r="R48" s="28" t="str"/>
      <x:c r="S48" s="28" t="str"/>
      <x:c r="T48" s="28" t="str"/>
      <x:c r="U48" s="28" t="str"/>
      <x:c r="V48" s="28" t="str"/>
      <x:c r="W48" s="28" t="str"/>
      <x:c r="X48" s="28" t="str"/>
      <x:c r="Y48" s="28" t="str"/>
      <x:c r="Z48" s="28" t="str"/>
      <x:c r="AA48" s="28" t="str"/>
      <x:c r="AB48" s="28" t="n">
        <x:f>SUMPRODUCT(--(P48:AA48&lt;&gt;""),--(P$5:AA$5&lt;=$D$2))</x:f>
        <x:v>0</x:v>
      </x:c>
      <x:c r="AC48" s="28" t="n">
        <x:f>SUMPRODUCT(--(P48:AA48="Ejecutado"),--(P$5:AA$5&lt;=$D$2))</x:f>
        <x:v>0</x:v>
      </x:c>
      <x:c r="AD48" s="75" t="n">
        <x:f>IF(AB48=0,0,AC48/AB48)</x:f>
        <x:v>0</x:v>
      </x:c>
      <x:c r="AE48" s="28" t="str">
        <x:f>IF(AD48=1,"Cumplida",IF(AD48&gt;=0.8,"Cumplida con ajustes",IF(AD48&gt;0,"En ejecución","Pendiente")))</x:f>
        <x:v>Pendiente</x:v>
      </x:c>
    </x:row>
    <x:row r="49" ht="20" customHeight="1">
      <x:c r="A49" s="28" t="str"/>
      <x:c r="B49" s="28" t="n">
        <x:v>2026</x:v>
      </x:c>
      <x:c r="C49" s="28" t="str"/>
      <x:c r="D49" s="28" t="str"/>
      <x:c r="E49" s="28" t="str"/>
      <x:c r="F49" s="28" t="str"/>
      <x:c r="G49" s="28" t="str"/>
      <x:c r="H49" s="28" t="str"/>
      <x:c r="I49" s="28" t="str"/>
      <x:c r="J49" s="28" t="str"/>
      <x:c r="K49" s="28" t="str"/>
      <x:c r="L49" s="28" t="str"/>
      <x:c r="M49" s="28" t="str"/>
      <x:c r="N49" s="74" t="str"/>
      <x:c r="O49" s="28" t="str"/>
      <x:c r="P49" s="28" t="str"/>
      <x:c r="Q49" s="28" t="str"/>
      <x:c r="R49" s="28" t="str"/>
      <x:c r="S49" s="28" t="str"/>
      <x:c r="T49" s="28" t="str"/>
      <x:c r="U49" s="28" t="str"/>
      <x:c r="V49" s="28" t="str"/>
      <x:c r="W49" s="28" t="str"/>
      <x:c r="X49" s="28" t="str"/>
      <x:c r="Y49" s="28" t="str"/>
      <x:c r="Z49" s="28" t="str"/>
      <x:c r="AA49" s="28" t="str"/>
      <x:c r="AB49" s="28" t="n">
        <x:f>SUMPRODUCT(--(P49:AA49&lt;&gt;""),--(P$5:AA$5&lt;=$D$2))</x:f>
        <x:v>0</x:v>
      </x:c>
      <x:c r="AC49" s="28" t="n">
        <x:f>SUMPRODUCT(--(P49:AA49="Ejecutado"),--(P$5:AA$5&lt;=$D$2))</x:f>
        <x:v>0</x:v>
      </x:c>
      <x:c r="AD49" s="75" t="n">
        <x:f>IF(AB49=0,0,AC49/AB49)</x:f>
        <x:v>0</x:v>
      </x:c>
      <x:c r="AE49" s="28" t="str">
        <x:f>IF(AD49=1,"Cumplida",IF(AD49&gt;=0.8,"Cumplida con ajustes",IF(AD49&gt;0,"En ejecución","Pendiente")))</x:f>
        <x:v>Pendiente</x:v>
      </x:c>
    </x:row>
    <x:row r="50" ht="20" customHeight="1">
      <x:c r="A50" s="28" t="str"/>
      <x:c r="B50" s="28" t="n">
        <x:v>2026</x:v>
      </x:c>
      <x:c r="C50" s="28" t="str"/>
      <x:c r="D50" s="28" t="str"/>
      <x:c r="E50" s="28" t="str"/>
      <x:c r="F50" s="28" t="str"/>
      <x:c r="G50" s="28" t="str"/>
      <x:c r="H50" s="28" t="str"/>
      <x:c r="I50" s="28" t="str"/>
      <x:c r="J50" s="28" t="str"/>
      <x:c r="K50" s="28" t="str"/>
      <x:c r="L50" s="28" t="str"/>
      <x:c r="M50" s="28" t="str"/>
      <x:c r="N50" s="74" t="str"/>
      <x:c r="O50" s="28" t="str"/>
      <x:c r="P50" s="28" t="str"/>
      <x:c r="Q50" s="28" t="str"/>
      <x:c r="R50" s="28" t="str"/>
      <x:c r="S50" s="28" t="str"/>
      <x:c r="T50" s="28" t="str"/>
      <x:c r="U50" s="28" t="str"/>
      <x:c r="V50" s="28" t="str"/>
      <x:c r="W50" s="28" t="str"/>
      <x:c r="X50" s="28" t="str"/>
      <x:c r="Y50" s="28" t="str"/>
      <x:c r="Z50" s="28" t="str"/>
      <x:c r="AA50" s="28" t="str"/>
      <x:c r="AB50" s="28" t="n">
        <x:f>SUMPRODUCT(--(P50:AA50&lt;&gt;""),--(P$5:AA$5&lt;=$D$2))</x:f>
        <x:v>0</x:v>
      </x:c>
      <x:c r="AC50" s="28" t="n">
        <x:f>SUMPRODUCT(--(P50:AA50="Ejecutado"),--(P$5:AA$5&lt;=$D$2))</x:f>
        <x:v>0</x:v>
      </x:c>
      <x:c r="AD50" s="75" t="n">
        <x:f>IF(AB50=0,0,AC50/AB50)</x:f>
        <x:v>0</x:v>
      </x:c>
      <x:c r="AE50" s="28" t="str">
        <x:f>IF(AD50=1,"Cumplida",IF(AD50&gt;=0.8,"Cumplida con ajustes",IF(AD50&gt;0,"En ejecución","Pendiente")))</x:f>
        <x:v>Pendiente</x:v>
      </x:c>
    </x:row>
    <x:row r="51" ht="20" customHeight="1">
      <x:c r="A51" s="28" t="str"/>
      <x:c r="B51" s="28" t="n">
        <x:v>2026</x:v>
      </x:c>
      <x:c r="C51" s="28" t="str"/>
      <x:c r="D51" s="28" t="str"/>
      <x:c r="E51" s="28" t="str"/>
      <x:c r="F51" s="28" t="str"/>
      <x:c r="G51" s="28" t="str"/>
      <x:c r="H51" s="28" t="str"/>
      <x:c r="I51" s="28" t="str"/>
      <x:c r="J51" s="28" t="str"/>
      <x:c r="K51" s="28" t="str"/>
      <x:c r="L51" s="28" t="str"/>
      <x:c r="M51" s="28" t="str"/>
      <x:c r="N51" s="74" t="str"/>
      <x:c r="O51" s="28" t="str"/>
      <x:c r="P51" s="28" t="str"/>
      <x:c r="Q51" s="28" t="str"/>
      <x:c r="R51" s="28" t="str"/>
      <x:c r="S51" s="28" t="str"/>
      <x:c r="T51" s="28" t="str"/>
      <x:c r="U51" s="28" t="str"/>
      <x:c r="V51" s="28" t="str"/>
      <x:c r="W51" s="28" t="str"/>
      <x:c r="X51" s="28" t="str"/>
      <x:c r="Y51" s="28" t="str"/>
      <x:c r="Z51" s="28" t="str"/>
      <x:c r="AA51" s="28" t="str"/>
      <x:c r="AB51" s="28" t="n">
        <x:f>SUMPRODUCT(--(P51:AA51&lt;&gt;""),--(P$5:AA$5&lt;=$D$2))</x:f>
        <x:v>0</x:v>
      </x:c>
      <x:c r="AC51" s="28" t="n">
        <x:f>SUMPRODUCT(--(P51:AA51="Ejecutado"),--(P$5:AA$5&lt;=$D$2))</x:f>
        <x:v>0</x:v>
      </x:c>
      <x:c r="AD51" s="75" t="n">
        <x:f>IF(AB51=0,0,AC51/AB51)</x:f>
        <x:v>0</x:v>
      </x:c>
      <x:c r="AE51" s="28" t="str">
        <x:f>IF(AD51=1,"Cumplida",IF(AD51&gt;=0.8,"Cumplida con ajustes",IF(AD51&gt;0,"En ejecución","Pendiente")))</x:f>
        <x:v>Pendiente</x:v>
      </x:c>
    </x:row>
    <x:row r="52" ht="20" customHeight="1">
      <x:c r="A52" s="28" t="str"/>
      <x:c r="B52" s="28" t="n">
        <x:v>2026</x:v>
      </x:c>
      <x:c r="C52" s="28" t="str"/>
      <x:c r="D52" s="28" t="str"/>
      <x:c r="E52" s="28" t="str"/>
      <x:c r="F52" s="28" t="str"/>
      <x:c r="G52" s="28" t="str"/>
      <x:c r="H52" s="28" t="str"/>
      <x:c r="I52" s="28" t="str"/>
      <x:c r="J52" s="28" t="str"/>
      <x:c r="K52" s="28" t="str"/>
      <x:c r="L52" s="28" t="str"/>
      <x:c r="M52" s="28" t="str"/>
      <x:c r="N52" s="74" t="str"/>
      <x:c r="O52" s="28" t="str"/>
      <x:c r="P52" s="28" t="str"/>
      <x:c r="Q52" s="28" t="str"/>
      <x:c r="R52" s="28" t="str"/>
      <x:c r="S52" s="28" t="str"/>
      <x:c r="T52" s="28" t="str"/>
      <x:c r="U52" s="28" t="str"/>
      <x:c r="V52" s="28" t="str"/>
      <x:c r="W52" s="28" t="str"/>
      <x:c r="X52" s="28" t="str"/>
      <x:c r="Y52" s="28" t="str"/>
      <x:c r="Z52" s="28" t="str"/>
      <x:c r="AA52" s="28" t="str"/>
      <x:c r="AB52" s="28" t="n">
        <x:f>SUMPRODUCT(--(P52:AA52&lt;&gt;""),--(P$5:AA$5&lt;=$D$2))</x:f>
        <x:v>0</x:v>
      </x:c>
      <x:c r="AC52" s="28" t="n">
        <x:f>SUMPRODUCT(--(P52:AA52="Ejecutado"),--(P$5:AA$5&lt;=$D$2))</x:f>
        <x:v>0</x:v>
      </x:c>
      <x:c r="AD52" s="75" t="n">
        <x:f>IF(AB52=0,0,AC52/AB52)</x:f>
        <x:v>0</x:v>
      </x:c>
      <x:c r="AE52" s="28" t="str">
        <x:f>IF(AD52=1,"Cumplida",IF(AD52&gt;=0.8,"Cumplida con ajustes",IF(AD52&gt;0,"En ejecución","Pendiente")))</x:f>
        <x:v>Pendiente</x:v>
      </x:c>
    </x:row>
    <x:row r="53" ht="20" customHeight="1">
      <x:c r="A53" s="28" t="str"/>
      <x:c r="B53" s="28" t="n">
        <x:v>2026</x:v>
      </x:c>
      <x:c r="C53" s="28" t="str"/>
      <x:c r="D53" s="28" t="str"/>
      <x:c r="E53" s="28" t="str"/>
      <x:c r="F53" s="28" t="str"/>
      <x:c r="G53" s="28" t="str"/>
      <x:c r="H53" s="28" t="str"/>
      <x:c r="I53" s="28" t="str"/>
      <x:c r="J53" s="28" t="str"/>
      <x:c r="K53" s="28" t="str"/>
      <x:c r="L53" s="28" t="str"/>
      <x:c r="M53" s="28" t="str"/>
      <x:c r="N53" s="74" t="str"/>
      <x:c r="O53" s="28" t="str"/>
      <x:c r="P53" s="28" t="str"/>
      <x:c r="Q53" s="28" t="str"/>
      <x:c r="R53" s="28" t="str"/>
      <x:c r="S53" s="28" t="str"/>
      <x:c r="T53" s="28" t="str"/>
      <x:c r="U53" s="28" t="str"/>
      <x:c r="V53" s="28" t="str"/>
      <x:c r="W53" s="28" t="str"/>
      <x:c r="X53" s="28" t="str"/>
      <x:c r="Y53" s="28" t="str"/>
      <x:c r="Z53" s="28" t="str"/>
      <x:c r="AA53" s="28" t="str"/>
      <x:c r="AB53" s="28" t="n">
        <x:f>SUMPRODUCT(--(P53:AA53&lt;&gt;""),--(P$5:AA$5&lt;=$D$2))</x:f>
        <x:v>0</x:v>
      </x:c>
      <x:c r="AC53" s="28" t="n">
        <x:f>SUMPRODUCT(--(P53:AA53="Ejecutado"),--(P$5:AA$5&lt;=$D$2))</x:f>
        <x:v>0</x:v>
      </x:c>
      <x:c r="AD53" s="75" t="n">
        <x:f>IF(AB53=0,0,AC53/AB53)</x:f>
        <x:v>0</x:v>
      </x:c>
      <x:c r="AE53" s="28" t="str">
        <x:f>IF(AD53=1,"Cumplida",IF(AD53&gt;=0.8,"Cumplida con ajustes",IF(AD53&gt;0,"En ejecución","Pendiente")))</x:f>
        <x:v>Pendiente</x:v>
      </x:c>
    </x:row>
    <x:row r="54" ht="20" customHeight="1">
      <x:c r="A54" s="28" t="str"/>
      <x:c r="B54" s="28" t="n">
        <x:v>2026</x:v>
      </x:c>
      <x:c r="C54" s="28" t="str"/>
      <x:c r="D54" s="28" t="str"/>
      <x:c r="E54" s="28" t="str"/>
      <x:c r="F54" s="28" t="str"/>
      <x:c r="G54" s="28" t="str"/>
      <x:c r="H54" s="28" t="str"/>
      <x:c r="I54" s="28" t="str"/>
      <x:c r="J54" s="28" t="str"/>
      <x:c r="K54" s="28" t="str"/>
      <x:c r="L54" s="28" t="str"/>
      <x:c r="M54" s="28" t="str"/>
      <x:c r="N54" s="74" t="str"/>
      <x:c r="O54" s="28" t="str"/>
      <x:c r="P54" s="28" t="str"/>
      <x:c r="Q54" s="28" t="str"/>
      <x:c r="R54" s="28" t="str"/>
      <x:c r="S54" s="28" t="str"/>
      <x:c r="T54" s="28" t="str"/>
      <x:c r="U54" s="28" t="str"/>
      <x:c r="V54" s="28" t="str"/>
      <x:c r="W54" s="28" t="str"/>
      <x:c r="X54" s="28" t="str"/>
      <x:c r="Y54" s="28" t="str"/>
      <x:c r="Z54" s="28" t="str"/>
      <x:c r="AA54" s="28" t="str"/>
      <x:c r="AB54" s="28" t="n">
        <x:f>SUMPRODUCT(--(P54:AA54&lt;&gt;""),--(P$5:AA$5&lt;=$D$2))</x:f>
        <x:v>0</x:v>
      </x:c>
      <x:c r="AC54" s="28" t="n">
        <x:f>SUMPRODUCT(--(P54:AA54="Ejecutado"),--(P$5:AA$5&lt;=$D$2))</x:f>
        <x:v>0</x:v>
      </x:c>
      <x:c r="AD54" s="75" t="n">
        <x:f>IF(AB54=0,0,AC54/AB54)</x:f>
        <x:v>0</x:v>
      </x:c>
      <x:c r="AE54" s="28" t="str">
        <x:f>IF(AD54=1,"Cumplida",IF(AD54&gt;=0.8,"Cumplida con ajustes",IF(AD54&gt;0,"En ejecución","Pendiente")))</x:f>
        <x:v>Pendiente</x:v>
      </x:c>
    </x:row>
    <x:row r="55" ht="20" customHeight="1">
      <x:c r="A55" s="28" t="str"/>
      <x:c r="B55" s="28" t="n">
        <x:v>2026</x:v>
      </x:c>
      <x:c r="C55" s="28" t="str"/>
      <x:c r="D55" s="28" t="str"/>
      <x:c r="E55" s="28" t="str"/>
      <x:c r="F55" s="28" t="str"/>
      <x:c r="G55" s="28" t="str"/>
      <x:c r="H55" s="28" t="str"/>
      <x:c r="I55" s="28" t="str"/>
      <x:c r="J55" s="28" t="str"/>
      <x:c r="K55" s="28" t="str"/>
      <x:c r="L55" s="28" t="str"/>
      <x:c r="M55" s="28" t="str"/>
      <x:c r="N55" s="74" t="str"/>
      <x:c r="O55" s="28" t="str"/>
      <x:c r="P55" s="28" t="str"/>
      <x:c r="Q55" s="28" t="str"/>
      <x:c r="R55" s="28" t="str"/>
      <x:c r="S55" s="28" t="str"/>
      <x:c r="T55" s="28" t="str"/>
      <x:c r="U55" s="28" t="str"/>
      <x:c r="V55" s="28" t="str"/>
      <x:c r="W55" s="28" t="str"/>
      <x:c r="X55" s="28" t="str"/>
      <x:c r="Y55" s="28" t="str"/>
      <x:c r="Z55" s="28" t="str"/>
      <x:c r="AA55" s="28" t="str"/>
      <x:c r="AB55" s="28" t="n">
        <x:f>SUMPRODUCT(--(P55:AA55&lt;&gt;""),--(P$5:AA$5&lt;=$D$2))</x:f>
        <x:v>0</x:v>
      </x:c>
      <x:c r="AC55" s="28" t="n">
        <x:f>SUMPRODUCT(--(P55:AA55="Ejecutado"),--(P$5:AA$5&lt;=$D$2))</x:f>
        <x:v>0</x:v>
      </x:c>
      <x:c r="AD55" s="75" t="n">
        <x:f>IF(AB55=0,0,AC55/AB55)</x:f>
        <x:v>0</x:v>
      </x:c>
      <x:c r="AE55" s="28" t="str">
        <x:f>IF(AD55=1,"Cumplida",IF(AD55&gt;=0.8,"Cumplida con ajustes",IF(AD55&gt;0,"En ejecución","Pendiente")))</x:f>
        <x:v>Pendiente</x:v>
      </x:c>
    </x:row>
    <x:row r="56" ht="20" customHeight="1">
      <x:c r="A56" s="28" t="str"/>
      <x:c r="B56" s="28" t="n">
        <x:v>2026</x:v>
      </x:c>
      <x:c r="C56" s="28" t="str"/>
      <x:c r="D56" s="28" t="str"/>
      <x:c r="E56" s="28" t="str"/>
      <x:c r="F56" s="28" t="str"/>
      <x:c r="G56" s="28" t="str"/>
      <x:c r="H56" s="28" t="str"/>
      <x:c r="I56" s="28" t="str"/>
      <x:c r="J56" s="28" t="str"/>
      <x:c r="K56" s="28" t="str"/>
      <x:c r="L56" s="28" t="str"/>
      <x:c r="M56" s="28" t="str"/>
      <x:c r="N56" s="74" t="str"/>
      <x:c r="O56" s="28" t="str"/>
      <x:c r="P56" s="28" t="str"/>
      <x:c r="Q56" s="28" t="str"/>
      <x:c r="R56" s="28" t="str"/>
      <x:c r="S56" s="28" t="str"/>
      <x:c r="T56" s="28" t="str"/>
      <x:c r="U56" s="28" t="str"/>
      <x:c r="V56" s="28" t="str"/>
      <x:c r="W56" s="28" t="str"/>
      <x:c r="X56" s="28" t="str"/>
      <x:c r="Y56" s="28" t="str"/>
      <x:c r="Z56" s="28" t="str"/>
      <x:c r="AA56" s="28" t="str"/>
      <x:c r="AB56" s="28" t="n">
        <x:f>SUMPRODUCT(--(P56:AA56&lt;&gt;""),--(P$5:AA$5&lt;=$D$2))</x:f>
        <x:v>0</x:v>
      </x:c>
      <x:c r="AC56" s="28" t="n">
        <x:f>SUMPRODUCT(--(P56:AA56="Ejecutado"),--(P$5:AA$5&lt;=$D$2))</x:f>
        <x:v>0</x:v>
      </x:c>
      <x:c r="AD56" s="75" t="n">
        <x:f>IF(AB56=0,0,AC56/AB56)</x:f>
        <x:v>0</x:v>
      </x:c>
      <x:c r="AE56" s="28" t="str">
        <x:f>IF(AD56=1,"Cumplida",IF(AD56&gt;=0.8,"Cumplida con ajustes",IF(AD56&gt;0,"En ejecución","Pendiente")))</x:f>
        <x:v>Pendiente</x:v>
      </x:c>
    </x:row>
    <x:row r="57" ht="20" customHeight="1">
      <x:c r="A57" s="28" t="str"/>
      <x:c r="B57" s="28" t="n">
        <x:v>2026</x:v>
      </x:c>
      <x:c r="C57" s="28" t="str"/>
      <x:c r="D57" s="28" t="str"/>
      <x:c r="E57" s="28" t="str"/>
      <x:c r="F57" s="28" t="str"/>
      <x:c r="G57" s="28" t="str"/>
      <x:c r="H57" s="28" t="str"/>
      <x:c r="I57" s="28" t="str"/>
      <x:c r="J57" s="28" t="str"/>
      <x:c r="K57" s="28" t="str"/>
      <x:c r="L57" s="28" t="str"/>
      <x:c r="M57" s="28" t="str"/>
      <x:c r="N57" s="74" t="str"/>
      <x:c r="O57" s="28" t="str"/>
      <x:c r="P57" s="28" t="str"/>
      <x:c r="Q57" s="28" t="str"/>
      <x:c r="R57" s="28" t="str"/>
      <x:c r="S57" s="28" t="str"/>
      <x:c r="T57" s="28" t="str"/>
      <x:c r="U57" s="28" t="str"/>
      <x:c r="V57" s="28" t="str"/>
      <x:c r="W57" s="28" t="str"/>
      <x:c r="X57" s="28" t="str"/>
      <x:c r="Y57" s="28" t="str"/>
      <x:c r="Z57" s="28" t="str"/>
      <x:c r="AA57" s="28" t="str"/>
      <x:c r="AB57" s="28" t="n">
        <x:f>SUMPRODUCT(--(P57:AA57&lt;&gt;""),--(P$5:AA$5&lt;=$D$2))</x:f>
        <x:v>0</x:v>
      </x:c>
      <x:c r="AC57" s="28" t="n">
        <x:f>SUMPRODUCT(--(P57:AA57="Ejecutado"),--(P$5:AA$5&lt;=$D$2))</x:f>
        <x:v>0</x:v>
      </x:c>
      <x:c r="AD57" s="75" t="n">
        <x:f>IF(AB57=0,0,AC57/AB57)</x:f>
        <x:v>0</x:v>
      </x:c>
      <x:c r="AE57" s="28" t="str">
        <x:f>IF(AD57=1,"Cumplida",IF(AD57&gt;=0.8,"Cumplida con ajustes",IF(AD57&gt;0,"En ejecución","Pendiente")))</x:f>
        <x:v>Pendiente</x:v>
      </x:c>
    </x:row>
    <x:row r="58" ht="20" customHeight="1">
      <x:c r="A58" s="28" t="str"/>
      <x:c r="B58" s="28" t="n">
        <x:v>2026</x:v>
      </x:c>
      <x:c r="C58" s="28" t="str"/>
      <x:c r="D58" s="28" t="str"/>
      <x:c r="E58" s="28" t="str"/>
      <x:c r="F58" s="28" t="str"/>
      <x:c r="G58" s="28" t="str"/>
      <x:c r="H58" s="28" t="str"/>
      <x:c r="I58" s="28" t="str"/>
      <x:c r="J58" s="28" t="str"/>
      <x:c r="K58" s="28" t="str"/>
      <x:c r="L58" s="28" t="str"/>
      <x:c r="M58" s="28" t="str"/>
      <x:c r="N58" s="74" t="str"/>
      <x:c r="O58" s="28" t="str"/>
      <x:c r="P58" s="28" t="str"/>
      <x:c r="Q58" s="28" t="str"/>
      <x:c r="R58" s="28" t="str"/>
      <x:c r="S58" s="28" t="str"/>
      <x:c r="T58" s="28" t="str"/>
      <x:c r="U58" s="28" t="str"/>
      <x:c r="V58" s="28" t="str"/>
      <x:c r="W58" s="28" t="str"/>
      <x:c r="X58" s="28" t="str"/>
      <x:c r="Y58" s="28" t="str"/>
      <x:c r="Z58" s="28" t="str"/>
      <x:c r="AA58" s="28" t="str"/>
      <x:c r="AB58" s="28" t="n">
        <x:f>SUMPRODUCT(--(P58:AA58&lt;&gt;""),--(P$5:AA$5&lt;=$D$2))</x:f>
        <x:v>0</x:v>
      </x:c>
      <x:c r="AC58" s="28" t="n">
        <x:f>SUMPRODUCT(--(P58:AA58="Ejecutado"),--(P$5:AA$5&lt;=$D$2))</x:f>
        <x:v>0</x:v>
      </x:c>
      <x:c r="AD58" s="75" t="n">
        <x:f>IF(AB58=0,0,AC58/AB58)</x:f>
        <x:v>0</x:v>
      </x:c>
      <x:c r="AE58" s="28" t="str">
        <x:f>IF(AD58=1,"Cumplida",IF(AD58&gt;=0.8,"Cumplida con ajustes",IF(AD58&gt;0,"En ejecución","Pendiente")))</x:f>
        <x:v>Pendiente</x:v>
      </x:c>
    </x:row>
    <x:row r="59" ht="20" customHeight="1">
      <x:c r="A59" s="28" t="str"/>
      <x:c r="B59" s="28" t="n">
        <x:v>2026</x:v>
      </x:c>
      <x:c r="C59" s="28" t="str"/>
      <x:c r="D59" s="28" t="str"/>
      <x:c r="E59" s="28" t="str"/>
      <x:c r="F59" s="28" t="str"/>
      <x:c r="G59" s="28" t="str"/>
      <x:c r="H59" s="28" t="str"/>
      <x:c r="I59" s="28" t="str"/>
      <x:c r="J59" s="28" t="str"/>
      <x:c r="K59" s="28" t="str"/>
      <x:c r="L59" s="28" t="str"/>
      <x:c r="M59" s="28" t="str"/>
      <x:c r="N59" s="74" t="str"/>
      <x:c r="O59" s="28" t="str"/>
      <x:c r="P59" s="28" t="str"/>
      <x:c r="Q59" s="28" t="str"/>
      <x:c r="R59" s="28" t="str"/>
      <x:c r="S59" s="28" t="str"/>
      <x:c r="T59" s="28" t="str"/>
      <x:c r="U59" s="28" t="str"/>
      <x:c r="V59" s="28" t="str"/>
      <x:c r="W59" s="28" t="str"/>
      <x:c r="X59" s="28" t="str"/>
      <x:c r="Y59" s="28" t="str"/>
      <x:c r="Z59" s="28" t="str"/>
      <x:c r="AA59" s="28" t="str"/>
      <x:c r="AB59" s="28" t="n">
        <x:f>SUMPRODUCT(--(P59:AA59&lt;&gt;""),--(P$5:AA$5&lt;=$D$2))</x:f>
        <x:v>0</x:v>
      </x:c>
      <x:c r="AC59" s="28" t="n">
        <x:f>SUMPRODUCT(--(P59:AA59="Ejecutado"),--(P$5:AA$5&lt;=$D$2))</x:f>
        <x:v>0</x:v>
      </x:c>
      <x:c r="AD59" s="75" t="n">
        <x:f>IF(AB59=0,0,AC59/AB59)</x:f>
        <x:v>0</x:v>
      </x:c>
      <x:c r="AE59" s="28" t="str">
        <x:f>IF(AD59=1,"Cumplida",IF(AD59&gt;=0.8,"Cumplida con ajustes",IF(AD59&gt;0,"En ejecución","Pendiente")))</x:f>
        <x:v>Pendiente</x:v>
      </x:c>
    </x:row>
    <x:row r="60" ht="20" customHeight="1">
      <x:c r="A60" s="28" t="str"/>
      <x:c r="B60" s="28" t="n">
        <x:v>2026</x:v>
      </x:c>
      <x:c r="C60" s="28" t="str"/>
      <x:c r="D60" s="28" t="str"/>
      <x:c r="E60" s="28" t="str"/>
      <x:c r="F60" s="28" t="str"/>
      <x:c r="G60" s="28" t="str"/>
      <x:c r="H60" s="28" t="str"/>
      <x:c r="I60" s="28" t="str"/>
      <x:c r="J60" s="28" t="str"/>
      <x:c r="K60" s="28" t="str"/>
      <x:c r="L60" s="28" t="str"/>
      <x:c r="M60" s="28" t="str"/>
      <x:c r="N60" s="74" t="str"/>
      <x:c r="O60" s="28" t="str"/>
      <x:c r="P60" s="28" t="str"/>
      <x:c r="Q60" s="28" t="str"/>
      <x:c r="R60" s="28" t="str"/>
      <x:c r="S60" s="28" t="str"/>
      <x:c r="T60" s="28" t="str"/>
      <x:c r="U60" s="28" t="str"/>
      <x:c r="V60" s="28" t="str"/>
      <x:c r="W60" s="28" t="str"/>
      <x:c r="X60" s="28" t="str"/>
      <x:c r="Y60" s="28" t="str"/>
      <x:c r="Z60" s="28" t="str"/>
      <x:c r="AA60" s="28" t="str"/>
      <x:c r="AB60" s="28" t="n">
        <x:f>SUMPRODUCT(--(P60:AA60&lt;&gt;""),--(P$5:AA$5&lt;=$D$2))</x:f>
        <x:v>0</x:v>
      </x:c>
      <x:c r="AC60" s="28" t="n">
        <x:f>SUMPRODUCT(--(P60:AA60="Ejecutado"),--(P$5:AA$5&lt;=$D$2))</x:f>
        <x:v>0</x:v>
      </x:c>
      <x:c r="AD60" s="75" t="n">
        <x:f>IF(AB60=0,0,AC60/AB60)</x:f>
        <x:v>0</x:v>
      </x:c>
      <x:c r="AE60" s="28" t="str">
        <x:f>IF(AD60=1,"Cumplida",IF(AD60&gt;=0.8,"Cumplida con ajustes",IF(AD60&gt;0,"En ejecución","Pendiente")))</x:f>
        <x:v>Pendiente</x:v>
      </x:c>
    </x:row>
    <x:row r="61" ht="20" customHeight="1">
      <x:c r="A61" s="28" t="str"/>
      <x:c r="B61" s="28" t="n">
        <x:v>2026</x:v>
      </x:c>
      <x:c r="C61" s="28" t="str"/>
      <x:c r="D61" s="28" t="str"/>
      <x:c r="E61" s="28" t="str"/>
      <x:c r="F61" s="28" t="str"/>
      <x:c r="G61" s="28" t="str"/>
      <x:c r="H61" s="28" t="str"/>
      <x:c r="I61" s="28" t="str"/>
      <x:c r="J61" s="28" t="str"/>
      <x:c r="K61" s="28" t="str"/>
      <x:c r="L61" s="28" t="str"/>
      <x:c r="M61" s="28" t="str"/>
      <x:c r="N61" s="74" t="str"/>
      <x:c r="O61" s="28" t="str"/>
      <x:c r="P61" s="28" t="str"/>
      <x:c r="Q61" s="28" t="str"/>
      <x:c r="R61" s="28" t="str"/>
      <x:c r="S61" s="28" t="str"/>
      <x:c r="T61" s="28" t="str"/>
      <x:c r="U61" s="28" t="str"/>
      <x:c r="V61" s="28" t="str"/>
      <x:c r="W61" s="28" t="str"/>
      <x:c r="X61" s="28" t="str"/>
      <x:c r="Y61" s="28" t="str"/>
      <x:c r="Z61" s="28" t="str"/>
      <x:c r="AA61" s="28" t="str"/>
      <x:c r="AB61" s="28" t="n">
        <x:f>SUMPRODUCT(--(P61:AA61&lt;&gt;""),--(P$5:AA$5&lt;=$D$2))</x:f>
        <x:v>0</x:v>
      </x:c>
      <x:c r="AC61" s="28" t="n">
        <x:f>SUMPRODUCT(--(P61:AA61="Ejecutado"),--(P$5:AA$5&lt;=$D$2))</x:f>
        <x:v>0</x:v>
      </x:c>
      <x:c r="AD61" s="75" t="n">
        <x:f>IF(AB61=0,0,AC61/AB61)</x:f>
        <x:v>0</x:v>
      </x:c>
      <x:c r="AE61" s="28" t="str">
        <x:f>IF(AD61=1,"Cumplida",IF(AD61&gt;=0.8,"Cumplida con ajustes",IF(AD61&gt;0,"En ejecución","Pendiente")))</x:f>
        <x:v>Pendiente</x:v>
      </x:c>
    </x:row>
    <x:row r="62" ht="20" customHeight="1">
      <x:c r="A62" s="28" t="str"/>
      <x:c r="B62" s="28" t="n">
        <x:v>2026</x:v>
      </x:c>
      <x:c r="C62" s="28" t="str"/>
      <x:c r="D62" s="28" t="str"/>
      <x:c r="E62" s="28" t="str"/>
      <x:c r="F62" s="28" t="str"/>
      <x:c r="G62" s="28" t="str"/>
      <x:c r="H62" s="28" t="str"/>
      <x:c r="I62" s="28" t="str"/>
      <x:c r="J62" s="28" t="str"/>
      <x:c r="K62" s="28" t="str"/>
      <x:c r="L62" s="28" t="str"/>
      <x:c r="M62" s="28" t="str"/>
      <x:c r="N62" s="74" t="str"/>
      <x:c r="O62" s="28" t="str"/>
      <x:c r="P62" s="28" t="str"/>
      <x:c r="Q62" s="28" t="str"/>
      <x:c r="R62" s="28" t="str"/>
      <x:c r="S62" s="28" t="str"/>
      <x:c r="T62" s="28" t="str"/>
      <x:c r="U62" s="28" t="str"/>
      <x:c r="V62" s="28" t="str"/>
      <x:c r="W62" s="28" t="str"/>
      <x:c r="X62" s="28" t="str"/>
      <x:c r="Y62" s="28" t="str"/>
      <x:c r="Z62" s="28" t="str"/>
      <x:c r="AA62" s="28" t="str"/>
      <x:c r="AB62" s="28" t="n">
        <x:f>SUMPRODUCT(--(P62:AA62&lt;&gt;""),--(P$5:AA$5&lt;=$D$2))</x:f>
        <x:v>0</x:v>
      </x:c>
      <x:c r="AC62" s="28" t="n">
        <x:f>SUMPRODUCT(--(P62:AA62="Ejecutado"),--(P$5:AA$5&lt;=$D$2))</x:f>
        <x:v>0</x:v>
      </x:c>
      <x:c r="AD62" s="75" t="n">
        <x:f>IF(AB62=0,0,AC62/AB62)</x:f>
        <x:v>0</x:v>
      </x:c>
      <x:c r="AE62" s="28" t="str">
        <x:f>IF(AD62=1,"Cumplida",IF(AD62&gt;=0.8,"Cumplida con ajustes",IF(AD62&gt;0,"En ejecución","Pendiente")))</x:f>
        <x:v>Pendiente</x:v>
      </x:c>
    </x:row>
    <x:row r="63" ht="20" customHeight="1">
      <x:c r="A63" s="28" t="str"/>
      <x:c r="B63" s="28" t="n">
        <x:v>2026</x:v>
      </x:c>
      <x:c r="C63" s="28" t="str"/>
      <x:c r="D63" s="28" t="str"/>
      <x:c r="E63" s="28" t="str"/>
      <x:c r="F63" s="28" t="str"/>
      <x:c r="G63" s="28" t="str"/>
      <x:c r="H63" s="28" t="str"/>
      <x:c r="I63" s="28" t="str"/>
      <x:c r="J63" s="28" t="str"/>
      <x:c r="K63" s="28" t="str"/>
      <x:c r="L63" s="28" t="str"/>
      <x:c r="M63" s="28" t="str"/>
      <x:c r="N63" s="74" t="str"/>
      <x:c r="O63" s="28" t="str"/>
      <x:c r="P63" s="28" t="str"/>
      <x:c r="Q63" s="28" t="str"/>
      <x:c r="R63" s="28" t="str"/>
      <x:c r="S63" s="28" t="str"/>
      <x:c r="T63" s="28" t="str"/>
      <x:c r="U63" s="28" t="str"/>
      <x:c r="V63" s="28" t="str"/>
      <x:c r="W63" s="28" t="str"/>
      <x:c r="X63" s="28" t="str"/>
      <x:c r="Y63" s="28" t="str"/>
      <x:c r="Z63" s="28" t="str"/>
      <x:c r="AA63" s="28" t="str"/>
      <x:c r="AB63" s="28" t="n">
        <x:f>SUMPRODUCT(--(P63:AA63&lt;&gt;""),--(P$5:AA$5&lt;=$D$2))</x:f>
        <x:v>0</x:v>
      </x:c>
      <x:c r="AC63" s="28" t="n">
        <x:f>SUMPRODUCT(--(P63:AA63="Ejecutado"),--(P$5:AA$5&lt;=$D$2))</x:f>
        <x:v>0</x:v>
      </x:c>
      <x:c r="AD63" s="75" t="n">
        <x:f>IF(AB63=0,0,AC63/AB63)</x:f>
        <x:v>0</x:v>
      </x:c>
      <x:c r="AE63" s="28" t="str">
        <x:f>IF(AD63=1,"Cumplida",IF(AD63&gt;=0.8,"Cumplida con ajustes",IF(AD63&gt;0,"En ejecución","Pendiente")))</x:f>
        <x:v>Pendiente</x:v>
      </x:c>
    </x:row>
    <x:row r="64" ht="20" customHeight="1">
      <x:c r="A64" s="28" t="str"/>
      <x:c r="B64" s="28" t="n">
        <x:v>2026</x:v>
      </x:c>
      <x:c r="C64" s="28" t="str"/>
      <x:c r="D64" s="28" t="str"/>
      <x:c r="E64" s="28" t="str"/>
      <x:c r="F64" s="28" t="str"/>
      <x:c r="G64" s="28" t="str"/>
      <x:c r="H64" s="28" t="str"/>
      <x:c r="I64" s="28" t="str"/>
      <x:c r="J64" s="28" t="str"/>
      <x:c r="K64" s="28" t="str"/>
      <x:c r="L64" s="28" t="str"/>
      <x:c r="M64" s="28" t="str"/>
      <x:c r="N64" s="74" t="str"/>
      <x:c r="O64" s="28" t="str"/>
      <x:c r="P64" s="28" t="str"/>
      <x:c r="Q64" s="28" t="str"/>
      <x:c r="R64" s="28" t="str"/>
      <x:c r="S64" s="28" t="str"/>
      <x:c r="T64" s="28" t="str"/>
      <x:c r="U64" s="28" t="str"/>
      <x:c r="V64" s="28" t="str"/>
      <x:c r="W64" s="28" t="str"/>
      <x:c r="X64" s="28" t="str"/>
      <x:c r="Y64" s="28" t="str"/>
      <x:c r="Z64" s="28" t="str"/>
      <x:c r="AA64" s="28" t="str"/>
      <x:c r="AB64" s="28" t="n">
        <x:f>SUMPRODUCT(--(P64:AA64&lt;&gt;""),--(P$5:AA$5&lt;=$D$2))</x:f>
        <x:v>0</x:v>
      </x:c>
      <x:c r="AC64" s="28" t="n">
        <x:f>SUMPRODUCT(--(P64:AA64="Ejecutado"),--(P$5:AA$5&lt;=$D$2))</x:f>
        <x:v>0</x:v>
      </x:c>
      <x:c r="AD64" s="75" t="n">
        <x:f>IF(AB64=0,0,AC64/AB64)</x:f>
        <x:v>0</x:v>
      </x:c>
      <x:c r="AE64" s="28" t="str">
        <x:f>IF(AD64=1,"Cumplida",IF(AD64&gt;=0.8,"Cumplida con ajustes",IF(AD64&gt;0,"En ejecución","Pendiente")))</x:f>
        <x:v>Pendiente</x:v>
      </x:c>
    </x:row>
    <x:row r="65" ht="20" customHeight="1">
      <x:c r="A65" s="28" t="str"/>
      <x:c r="B65" s="28" t="n">
        <x:v>2026</x:v>
      </x:c>
      <x:c r="C65" s="28" t="str"/>
      <x:c r="D65" s="28" t="str"/>
      <x:c r="E65" s="28" t="str"/>
      <x:c r="F65" s="28" t="str"/>
      <x:c r="G65" s="28" t="str"/>
      <x:c r="H65" s="28" t="str"/>
      <x:c r="I65" s="28" t="str"/>
      <x:c r="J65" s="28" t="str"/>
      <x:c r="K65" s="28" t="str"/>
      <x:c r="L65" s="28" t="str"/>
      <x:c r="M65" s="28" t="str"/>
      <x:c r="N65" s="74" t="str"/>
      <x:c r="O65" s="28" t="str"/>
      <x:c r="P65" s="28" t="str"/>
      <x:c r="Q65" s="28" t="str"/>
      <x:c r="R65" s="28" t="str"/>
      <x:c r="S65" s="28" t="str"/>
      <x:c r="T65" s="28" t="str"/>
      <x:c r="U65" s="28" t="str"/>
      <x:c r="V65" s="28" t="str"/>
      <x:c r="W65" s="28" t="str"/>
      <x:c r="X65" s="28" t="str"/>
      <x:c r="Y65" s="28" t="str"/>
      <x:c r="Z65" s="28" t="str"/>
      <x:c r="AA65" s="28" t="str"/>
      <x:c r="AB65" s="28" t="n">
        <x:f>SUMPRODUCT(--(P65:AA65&lt;&gt;""),--(P$5:AA$5&lt;=$D$2))</x:f>
        <x:v>0</x:v>
      </x:c>
      <x:c r="AC65" s="28" t="n">
        <x:f>SUMPRODUCT(--(P65:AA65="Ejecutado"),--(P$5:AA$5&lt;=$D$2))</x:f>
        <x:v>0</x:v>
      </x:c>
      <x:c r="AD65" s="75" t="n">
        <x:f>IF(AB65=0,0,AC65/AB65)</x:f>
        <x:v>0</x:v>
      </x:c>
      <x:c r="AE65" s="28" t="str">
        <x:f>IF(AD65=1,"Cumplida",IF(AD65&gt;=0.8,"Cumplida con ajustes",IF(AD65&gt;0,"En ejecución","Pendiente")))</x:f>
        <x:v>Pendiente</x:v>
      </x:c>
    </x:row>
    <x:row r="66" ht="20" customHeight="1">
      <x:c r="A66" s="28" t="str"/>
      <x:c r="B66" s="28" t="n">
        <x:v>2026</x:v>
      </x:c>
      <x:c r="C66" s="28" t="str"/>
      <x:c r="D66" s="28" t="str"/>
      <x:c r="E66" s="28" t="str"/>
      <x:c r="F66" s="28" t="str"/>
      <x:c r="G66" s="28" t="str"/>
      <x:c r="H66" s="28" t="str"/>
      <x:c r="I66" s="28" t="str"/>
      <x:c r="J66" s="28" t="str"/>
      <x:c r="K66" s="28" t="str"/>
      <x:c r="L66" s="28" t="str"/>
      <x:c r="M66" s="28" t="str"/>
      <x:c r="N66" s="74" t="str"/>
      <x:c r="O66" s="28" t="str"/>
      <x:c r="P66" s="28" t="str"/>
      <x:c r="Q66" s="28" t="str"/>
      <x:c r="R66" s="28" t="str"/>
      <x:c r="S66" s="28" t="str"/>
      <x:c r="T66" s="28" t="str"/>
      <x:c r="U66" s="28" t="str"/>
      <x:c r="V66" s="28" t="str"/>
      <x:c r="W66" s="28" t="str"/>
      <x:c r="X66" s="28" t="str"/>
      <x:c r="Y66" s="28" t="str"/>
      <x:c r="Z66" s="28" t="str"/>
      <x:c r="AA66" s="28" t="str"/>
      <x:c r="AB66" s="28" t="n">
        <x:f>SUMPRODUCT(--(P66:AA66&lt;&gt;""),--(P$5:AA$5&lt;=$D$2))</x:f>
        <x:v>0</x:v>
      </x:c>
      <x:c r="AC66" s="28" t="n">
        <x:f>SUMPRODUCT(--(P66:AA66="Ejecutado"),--(P$5:AA$5&lt;=$D$2))</x:f>
        <x:v>0</x:v>
      </x:c>
      <x:c r="AD66" s="75" t="n">
        <x:f>IF(AB66=0,0,AC66/AB66)</x:f>
        <x:v>0</x:v>
      </x:c>
      <x:c r="AE66" s="28" t="str">
        <x:f>IF(AD66=1,"Cumplida",IF(AD66&gt;=0.8,"Cumplida con ajustes",IF(AD66&gt;0,"En ejecución","Pendiente")))</x:f>
        <x:v>Pendiente</x:v>
      </x:c>
    </x:row>
  </x:sheetData>
  <x:mergeCells>
    <x:mergeCell ref="A1:AE1"/>
  </x:mergeCells>
  <x:conditionalFormatting sqref="AD7:AD66">
    <x:cfRule type="colorScale" priority="1">
      <x:colorScale>
        <x:cfvo type="min"/>
        <x:cfvo type="percentile" val="50"/>
        <x:cfvo type="max"/>
        <x:color rgb="FDE2E1"/>
        <x:color rgb="FFF4CC"/>
        <x:color rgb="D9EAD3"/>
      </x:colorScale>
    </x:cfRule>
  </x:conditionalFormatting>
  <x:dataValidations count="4">
    <x:dataValidation type="list" sqref="P7:AA66">
      <x:formula1>Catalogos!$A$4:$A$7</x:formula1>
    </x:dataValidation>
    <x:dataValidation type="list" sqref="D7:D66">
      <x:formula1>Catalogos!$C$4:$C$7</x:formula1>
    </x:dataValidation>
    <x:dataValidation type="list" sqref="K7:K66">
      <x:formula1>Catalogos!$E$4:$E$9</x:formula1>
    </x:dataValidation>
    <x:dataValidation type="list" sqref="C7:C66">
      <x:formula1>Catalogos!$G$4:$G$15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8" hidden="0" customWidth="1"/>
    <x:col min="4" max="4" width="12" hidden="0" customWidth="1"/>
    <x:col min="5" max="5" width="18" hidden="0" customWidth="1"/>
    <x:col min="6" max="6" width="18" hidden="0" customWidth="1"/>
    <x:col min="7" max="7" width="28" hidden="0" customWidth="1"/>
    <x:col min="8" max="8" width="30" hidden="0" customWidth="1"/>
    <x:col min="9" max="9" width="22" hidden="0" customWidth="1"/>
    <x:col min="10" max="10" width="22" hidden="0" customWidth="1"/>
    <x:col min="11" max="11" width="11" hidden="0" customWidth="1"/>
    <x:col min="12" max="12" width="20" hidden="0" customWidth="1"/>
    <x:col min="13" max="13" width="13" hidden="0" customWidth="1"/>
    <x:col min="14" max="14" width="16" hidden="0" customWidth="1"/>
    <x:col min="15" max="15" width="22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4" hidden="0" customWidth="1"/>
    <x:col min="29" max="29" width="14" hidden="0" customWidth="1"/>
    <x:col min="30" max="30" width="14" hidden="0" customWidth="1"/>
    <x:col min="31" max="31" width="18" hidden="0" customWidth="1"/>
  </x:cols>
  <x:sheetData>
    <x:row r="1" ht="24" customHeight="1">
      <x:c r="A1" s="5" t="str">
        <x:v>Plan Anual de Trabajo SG-SST (PHVA) – 2023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</x:row>
    <x:row r="2">
      <x:c r="A2" s="49" t="str">
        <x:v>Año</x:v>
      </x:c>
      <x:c r="B2" s="28" t="n">
        <x:v>2023</x:v>
      </x:c>
      <x:c r="C2" s="49" t="str">
        <x:v>Mes de corte</x:v>
      </x:c>
      <x:c r="D2" s="28" t="n">
        <x:v>12</x:v>
      </x:c>
      <x:c r="E2" s="49" t="str">
        <x:v>Marco</x:v>
      </x:c>
      <x:c r="F2" s="28" t="str">
        <x:v>Decreto 1072 de 2015 + Resolución 0312 de 2019</x:v>
      </x:c>
    </x:row>
    <x:row r="3">
      <x:c r="A3" s="49" t="str">
        <x:v>Propósito</x:v>
      </x:c>
      <x:c r="B3" s="28" t="str">
        <x:v>Programar, ejecutar y controlar el SG-SST por ciclo PHVA.</x:v>
      </x:c>
      <x:c r="C3" s="49" t="str">
        <x:v>Alcance</x:v>
      </x:c>
      <x:c r="D3" s="28" t="str">
        <x:v>Metas, responsables, recursos y cronograma mensual.</x:v>
      </x:c>
      <x:c r="E3" s="49" t="str">
        <x:v>Criterio</x:v>
      </x:c>
      <x:c r="F3" s="28" t="str">
        <x:v>% cumplimiento a corte = ejecutadas / programadas a corte</x:v>
      </x:c>
    </x:row>
    <x:row r="5">
      <x:c r="P5" s="57" t="n">
        <x:v>1</x:v>
      </x:c>
      <x:c r="Q5" s="57" t="n">
        <x:v>2</x:v>
      </x:c>
      <x:c r="R5" s="57" t="n">
        <x:v>3</x:v>
      </x:c>
      <x:c r="S5" s="57" t="n">
        <x:v>4</x:v>
      </x:c>
      <x:c r="T5" s="57" t="n">
        <x:v>5</x:v>
      </x:c>
      <x:c r="U5" s="57" t="n">
        <x:v>6</x:v>
      </x:c>
      <x:c r="V5" s="57" t="n">
        <x:v>7</x:v>
      </x:c>
      <x:c r="W5" s="57" t="n">
        <x:v>8</x:v>
      </x:c>
      <x:c r="X5" s="57" t="n">
        <x:v>9</x:v>
      </x:c>
      <x:c r="Y5" s="57" t="n">
        <x:v>10</x:v>
      </x:c>
      <x:c r="Z5" s="57" t="n">
        <x:v>11</x:v>
      </x:c>
      <x:c r="AA5" s="57" t="n">
        <x:v>12</x:v>
      </x:c>
    </x:row>
    <x:row r="6" ht="36" customHeight="1">
      <x:c r="A6" s="62" t="str">
        <x:v>Código</x:v>
      </x:c>
      <x:c r="B6" s="62" t="str">
        <x:v>Año</x:v>
      </x:c>
      <x:c r="C6" s="62" t="str">
        <x:v>Sede/Cobertura</x:v>
      </x:c>
      <x:c r="D6" s="62" t="str">
        <x:v>Ciclo PHVA</x:v>
      </x:c>
      <x:c r="E6" s="62" t="str">
        <x:v>Componente SG-SST</x:v>
      </x:c>
      <x:c r="F6" s="62" t="str">
        <x:v>Estándar / Requisito</x:v>
      </x:c>
      <x:c r="G6" s="62" t="str">
        <x:v>Actividad</x:v>
      </x:c>
      <x:c r="H6" s="62" t="str">
        <x:v>Objetivo</x:v>
      </x:c>
      <x:c r="I6" s="62" t="str">
        <x:v>Meta</x:v>
      </x:c>
      <x:c r="J6" s="62" t="str">
        <x:v>Indicador</x:v>
      </x:c>
      <x:c r="K6" s="62" t="str">
        <x:v>Frecuencia</x:v>
      </x:c>
      <x:c r="L6" s="62" t="str">
        <x:v>Responsable</x:v>
      </x:c>
      <x:c r="M6" s="62" t="str">
        <x:v>Rec. humanos (HH)</x:v>
      </x:c>
      <x:c r="N6" s="62" t="str">
        <x:v>Rec. financieros estimados (COP)</x:v>
      </x:c>
      <x:c r="O6" s="62" t="str">
        <x:v>Rec. tecnológicos</x:v>
      </x:c>
      <x:c r="P6" s="62" t="str">
        <x:v>Ene</x:v>
      </x:c>
      <x:c r="Q6" s="62" t="str">
        <x:v>Feb</x:v>
      </x:c>
      <x:c r="R6" s="62" t="str">
        <x:v>Mar</x:v>
      </x:c>
      <x:c r="S6" s="62" t="str">
        <x:v>Abr</x:v>
      </x:c>
      <x:c r="T6" s="62" t="str">
        <x:v>May</x:v>
      </x:c>
      <x:c r="U6" s="62" t="str">
        <x:v>Jun</x:v>
      </x:c>
      <x:c r="V6" s="62" t="str">
        <x:v>Jul</x:v>
      </x:c>
      <x:c r="W6" s="62" t="str">
        <x:v>Ago</x:v>
      </x:c>
      <x:c r="X6" s="62" t="str">
        <x:v>Sep</x:v>
      </x:c>
      <x:c r="Y6" s="62" t="str">
        <x:v>Oct</x:v>
      </x:c>
      <x:c r="Z6" s="62" t="str">
        <x:v>Nov</x:v>
      </x:c>
      <x:c r="AA6" s="62" t="str">
        <x:v>Dic</x:v>
      </x:c>
      <x:c r="AB6" s="62" t="str">
        <x:v>Programadas a corte</x:v>
      </x:c>
      <x:c r="AC6" s="62" t="str">
        <x:v>Ejecutadas a corte</x:v>
      </x:c>
      <x:c r="AD6" s="62" t="str">
        <x:v>% Cumplimiento a corte</x:v>
      </x:c>
      <x:c r="AE6" s="62" t="str">
        <x:v>Estado general</x:v>
      </x:c>
    </x:row>
    <x:row r="7" ht="20" customHeight="1">
      <x:c r="A7" s="28" t="str">
        <x:v>PAT-001</x:v>
      </x:c>
      <x:c r="B7" s="28" t="n">
        <x:v>2023</x:v>
      </x:c>
      <x:c r="C7" s="28" t="str">
        <x:v>Todas las sedes</x:v>
      </x:c>
      <x:c r="D7" s="28" t="str">
        <x:v>Planear</x:v>
      </x:c>
      <x:c r="E7" s="28" t="str">
        <x:v>Política SST</x:v>
      </x:c>
      <x:c r="F7" s="28" t="str">
        <x:v>Política y compromiso</x:v>
      </x:c>
      <x:c r="G7" s="28" t="str">
        <x:v>Revisar y actualizar la política de SST</x:v>
      </x:c>
      <x:c r="H7" s="28" t="str">
        <x:v>Mantener vigente la política y comunicarla a toda la organización</x:v>
      </x:c>
      <x:c r="I7" s="28" t="str">
        <x:v>1 política revisada y divulgada</x:v>
      </x:c>
      <x:c r="J7" s="28" t="str">
        <x:v>Política actualizada y evidencias de divulgación</x:v>
      </x:c>
      <x:c r="K7" s="28" t="str">
        <x:v>Anual</x:v>
      </x:c>
      <x:c r="L7" s="28" t="str">
        <x:v>Gerencia / Líder SST</x:v>
      </x:c>
      <x:c r="M7" s="73" t="n">
        <x:v>16</x:v>
      </x:c>
      <x:c r="N7" s="74" t="n">
        <x:v>1200000</x:v>
      </x:c>
      <x:c r="O7" s="28" t="str">
        <x:v>Google Drive, correo, cartelera</x:v>
      </x:c>
      <x:c r="P7" s="28" t="str">
        <x:v>Ejecutado</x:v>
      </x:c>
      <x:c r="Q7" s="28" t="str"/>
      <x:c r="R7" s="28" t="str"/>
      <x:c r="S7" s="28" t="str"/>
      <x:c r="T7" s="28" t="str"/>
      <x:c r="U7" s="28" t="str"/>
      <x:c r="V7" s="28" t="str"/>
      <x:c r="W7" s="28" t="str"/>
      <x:c r="X7" s="28" t="str"/>
      <x:c r="Y7" s="28" t="str"/>
      <x:c r="Z7" s="28" t="str"/>
      <x:c r="AA7" s="28" t="str"/>
      <x:c r="AB7" s="28" t="n">
        <x:f>SUMPRODUCT(--(P7:AA7&lt;&gt;""),--(P$5:AA$5&lt;=$D$2))</x:f>
        <x:v>1</x:v>
      </x:c>
      <x:c r="AC7" s="28" t="n">
        <x:f>SUMPRODUCT(--(P7:AA7="Ejecutado"),--(P$5:AA$5&lt;=$D$2))</x:f>
        <x:v>1</x:v>
      </x:c>
      <x:c r="AD7" s="75" t="n">
        <x:f>IF(AB7=0,0,AC7/AB7)</x:f>
        <x:v>1</x:v>
      </x:c>
      <x:c r="AE7" s="28" t="str">
        <x:f>IF(AD7=1,"Cumplida",IF(AD7&gt;=0.8,"Cumplida con ajustes",IF(AD7&gt;0,"En ejecución","Pendiente")))</x:f>
        <x:v>Cumplida</x:v>
      </x:c>
    </x:row>
    <x:row r="8" ht="20" customHeight="1">
      <x:c r="A8" s="28" t="str">
        <x:v>PAT-002</x:v>
      </x:c>
      <x:c r="B8" s="28" t="n">
        <x:v>2023</x:v>
      </x:c>
      <x:c r="C8" s="28" t="str">
        <x:v>Todas las sedes</x:v>
      </x:c>
      <x:c r="D8" s="28" t="str">
        <x:v>Planear</x:v>
      </x:c>
      <x:c r="E8" s="28" t="str">
        <x:v>Objetivos e indicadores</x:v>
      </x:c>
      <x:c r="F8" s="28" t="str">
        <x:v>Objetivos y metas</x:v>
      </x:c>
      <x:c r="G8" s="28" t="str">
        <x:v>Definir objetivos, metas e indicadores anuales del SG-SST</x:v>
      </x:c>
      <x:c r="H8" s="28" t="str">
        <x:v>Alinear la gestión SST con metas medibles</x:v>
      </x:c>
      <x:c r="I8" s="28" t="str">
        <x:v>1 matriz de objetivos e indicadores aprobada</x:v>
      </x:c>
      <x:c r="J8" s="28" t="str">
        <x:v>Matriz de objetivos e indicadores aprobada</x:v>
      </x:c>
      <x:c r="K8" s="28" t="str">
        <x:v>Anual</x:v>
      </x:c>
      <x:c r="L8" s="28" t="str">
        <x:v>Gerencia / Líder SST</x:v>
      </x:c>
      <x:c r="M8" s="73" t="n">
        <x:v>20</x:v>
      </x:c>
      <x:c r="N8" s="74" t="n">
        <x:v>1500000</x:v>
      </x:c>
      <x:c r="O8" s="28" t="str">
        <x:v>Excel / Sheets</x:v>
      </x:c>
      <x:c r="P8" s="28" t="str">
        <x:v>Ejecutado</x:v>
      </x:c>
      <x:c r="Q8" s="28" t="str"/>
      <x:c r="R8" s="28" t="str"/>
      <x:c r="S8" s="28" t="str"/>
      <x:c r="T8" s="28" t="str"/>
      <x:c r="U8" s="28" t="str"/>
      <x:c r="V8" s="28" t="str"/>
      <x:c r="W8" s="28" t="str"/>
      <x:c r="X8" s="28" t="str"/>
      <x:c r="Y8" s="28" t="str"/>
      <x:c r="Z8" s="28" t="str"/>
      <x:c r="AA8" s="28" t="str"/>
      <x:c r="AB8" s="28" t="n">
        <x:f>SUMPRODUCT(--(P8:AA8&lt;&gt;""),--(P$5:AA$5&lt;=$D$2))</x:f>
        <x:v>1</x:v>
      </x:c>
      <x:c r="AC8" s="28" t="n">
        <x:f>SUMPRODUCT(--(P8:AA8="Ejecutado"),--(P$5:AA$5&lt;=$D$2))</x:f>
        <x:v>1</x:v>
      </x:c>
      <x:c r="AD8" s="75" t="n">
        <x:f>IF(AB8=0,0,AC8/AB8)</x:f>
        <x:v>1</x:v>
      </x:c>
      <x:c r="AE8" s="28" t="str">
        <x:f>IF(AD8=1,"Cumplida",IF(AD8&gt;=0.8,"Cumplida con ajustes",IF(AD8&gt;0,"En ejecución","Pendiente")))</x:f>
        <x:v>Cumplida</x:v>
      </x:c>
    </x:row>
    <x:row r="9" ht="20" customHeight="1">
      <x:c r="A9" s="28" t="str">
        <x:v>PAT-003</x:v>
      </x:c>
      <x:c r="B9" s="28" t="n">
        <x:v>2023</x:v>
      </x:c>
      <x:c r="C9" s="28" t="str">
        <x:v>Todas las sedes</x:v>
      </x:c>
      <x:c r="D9" s="28" t="str">
        <x:v>Planear</x:v>
      </x:c>
      <x:c r="E9" s="28" t="str">
        <x:v>Recursos</x:v>
      </x:c>
      <x:c r="F9" s="28" t="str">
        <x:v>Asignación de recursos</x:v>
      </x:c>
      <x:c r="G9" s="28" t="str">
        <x:v>Aprobar y socializar la asignación de recursos del SG-SST</x:v>
      </x:c>
      <x:c r="H9" s="28" t="str">
        <x:v>Garantizar recursos humanos, físicos, tecnológicos y financieros</x:v>
      </x:c>
      <x:c r="I9" s="28" t="str">
        <x:v>1 presupuesto SST aprobado</x:v>
      </x:c>
      <x:c r="J9" s="28" t="str">
        <x:v>Presupuesto SST aprobado y comunicado</x:v>
      </x:c>
      <x:c r="K9" s="28" t="str">
        <x:v>Anual</x:v>
      </x:c>
      <x:c r="L9" s="28" t="str">
        <x:v>Gerencia / Financiera / Líder SST</x:v>
      </x:c>
      <x:c r="M9" s="73" t="n">
        <x:v>12</x:v>
      </x:c>
      <x:c r="N9" s="74" t="n">
        <x:v>800000</x:v>
      </x:c>
      <x:c r="O9" s="28" t="str">
        <x:v>Presupuesto SST</x:v>
      </x:c>
      <x:c r="P9" s="28" t="str">
        <x:v>Ejecutado</x:v>
      </x:c>
      <x:c r="Q9" s="28" t="str"/>
      <x:c r="R9" s="28" t="str"/>
      <x:c r="S9" s="28" t="str"/>
      <x:c r="T9" s="28" t="str"/>
      <x:c r="U9" s="28" t="str"/>
      <x:c r="V9" s="28" t="str"/>
      <x:c r="W9" s="28" t="str"/>
      <x:c r="X9" s="28" t="str"/>
      <x:c r="Y9" s="28" t="str"/>
      <x:c r="Z9" s="28" t="str"/>
      <x:c r="AA9" s="28" t="str"/>
      <x:c r="AB9" s="28" t="n">
        <x:f>SUMPRODUCT(--(P9:AA9&lt;&gt;""),--(P$5:AA$5&lt;=$D$2))</x:f>
        <x:v>1</x:v>
      </x:c>
      <x:c r="AC9" s="28" t="n">
        <x:f>SUMPRODUCT(--(P9:AA9="Ejecutado"),--(P$5:AA$5&lt;=$D$2))</x:f>
        <x:v>1</x:v>
      </x:c>
      <x:c r="AD9" s="75" t="n">
        <x:f>IF(AB9=0,0,AC9/AB9)</x:f>
        <x:v>1</x:v>
      </x:c>
      <x:c r="AE9" s="28" t="str">
        <x:f>IF(AD9=1,"Cumplida",IF(AD9&gt;=0.8,"Cumplida con ajustes",IF(AD9&gt;0,"En ejecución","Pendiente")))</x:f>
        <x:v>Cumplida</x:v>
      </x:c>
    </x:row>
    <x:row r="10" ht="20" customHeight="1">
      <x:c r="A10" s="28" t="str">
        <x:v>PAT-004</x:v>
      </x:c>
      <x:c r="B10" s="28" t="n">
        <x:v>2023</x:v>
      </x:c>
      <x:c r="C10" s="28" t="str">
        <x:v>Todas las sedes</x:v>
      </x:c>
      <x:c r="D10" s="28" t="str">
        <x:v>Planear</x:v>
      </x:c>
      <x:c r="E10" s="28" t="str">
        <x:v>Evaluación inicial</x:v>
      </x:c>
      <x:c r="F10" s="28" t="str">
        <x:v>Autoevaluación de estándares</x:v>
      </x:c>
      <x:c r="G10" s="28" t="str">
        <x:v>Aplicar autodiagnóstico de estándares mínimos de la Resolución 0312 de 2019</x:v>
      </x:c>
      <x:c r="H10" s="28" t="str">
        <x:v>Establecer la línea base anual del SG-SST</x:v>
      </x:c>
      <x:c r="I10" s="28" t="str">
        <x:v>1 autodiagnóstico aplicado</x:v>
      </x:c>
      <x:c r="J10" s="28" t="str">
        <x:v>Puntaje de estándares mínimos evaluado</x:v>
      </x:c>
      <x:c r="K10" s="28" t="str">
        <x:v>Anual</x:v>
      </x:c>
      <x:c r="L10" s="28" t="str">
        <x:v>Líder SST</x:v>
      </x:c>
      <x:c r="M10" s="73" t="n">
        <x:v>24</x:v>
      </x:c>
      <x:c r="N10" s="74" t="n">
        <x:v>1800000</x:v>
      </x:c>
      <x:c r="O10" s="28" t="str">
        <x:v>Formato autodiagnóstico</x:v>
      </x:c>
      <x:c r="P10" s="28" t="str"/>
      <x:c r="Q10" s="28" t="str">
        <x:v>Ejecutado</x:v>
      </x:c>
      <x:c r="R10" s="28" t="str"/>
      <x:c r="S10" s="28" t="str"/>
      <x:c r="T10" s="28" t="str"/>
      <x:c r="U10" s="28" t="str"/>
      <x:c r="V10" s="28" t="str"/>
      <x:c r="W10" s="28" t="str"/>
      <x:c r="X10" s="28" t="str"/>
      <x:c r="Y10" s="28" t="str"/>
      <x:c r="Z10" s="28" t="str"/>
      <x:c r="AA10" s="28" t="str"/>
      <x:c r="AB10" s="28" t="n">
        <x:f>SUMPRODUCT(--(P10:AA10&lt;&gt;""),--(P$5:AA$5&lt;=$D$2))</x:f>
        <x:v>1</x:v>
      </x:c>
      <x:c r="AC10" s="28" t="n">
        <x:f>SUMPRODUCT(--(P10:AA10="Ejecutado"),--(P$5:AA$5&lt;=$D$2))</x:f>
        <x:v>1</x:v>
      </x:c>
      <x:c r="AD10" s="75" t="n">
        <x:f>IF(AB10=0,0,AC10/AB10)</x:f>
        <x:v>1</x:v>
      </x:c>
      <x:c r="AE10" s="28" t="str">
        <x:f>IF(AD10=1,"Cumplida",IF(AD10&gt;=0.8,"Cumplida con ajustes",IF(AD10&gt;0,"En ejecución","Pendiente")))</x:f>
        <x:v>Cumplida</x:v>
      </x:c>
    </x:row>
    <x:row r="11" ht="20" customHeight="1">
      <x:c r="A11" s="28" t="str">
        <x:v>PAT-005</x:v>
      </x:c>
      <x:c r="B11" s="28" t="n">
        <x:v>2023</x:v>
      </x:c>
      <x:c r="C11" s="28" t="str">
        <x:v>Todas las sedes</x:v>
      </x:c>
      <x:c r="D11" s="28" t="str">
        <x:v>Planear</x:v>
      </x:c>
      <x:c r="E11" s="28" t="str">
        <x:v>Planificación anual</x:v>
      </x:c>
      <x:c r="F11" s="28" t="str">
        <x:v>Plan anual de trabajo</x:v>
      </x:c>
      <x:c r="G11" s="28" t="str">
        <x:v>Diseñar, aprobar y publicar el plan anual de trabajo del SG-SST</x:v>
      </x:c>
      <x:c r="H11" s="28" t="str">
        <x:v>Planificar actividades, metas, cronograma y responsables</x:v>
      </x:c>
      <x:c r="I11" s="28" t="str">
        <x:v>1 plan anual aprobado</x:v>
      </x:c>
      <x:c r="J11" s="28" t="str">
        <x:v>Plan anual aprobado y publicado</x:v>
      </x:c>
      <x:c r="K11" s="28" t="str">
        <x:v>Anual</x:v>
      </x:c>
      <x:c r="L11" s="28" t="str">
        <x:v>Líder SST / Gerencia</x:v>
      </x:c>
      <x:c r="M11" s="73" t="n">
        <x:v>18</x:v>
      </x:c>
      <x:c r="N11" s="74" t="n">
        <x:v>1000000</x:v>
      </x:c>
      <x:c r="O11" s="28" t="str">
        <x:v>Sheets / cronograma</x:v>
      </x:c>
      <x:c r="P11" s="28" t="str">
        <x:v>Ejecutado</x:v>
      </x:c>
      <x:c r="Q11" s="28" t="str"/>
      <x:c r="R11" s="28" t="str"/>
      <x:c r="S11" s="28" t="str"/>
      <x:c r="T11" s="28" t="str"/>
      <x:c r="U11" s="28" t="str"/>
      <x:c r="V11" s="28" t="str"/>
      <x:c r="W11" s="28" t="str"/>
      <x:c r="X11" s="28" t="str"/>
      <x:c r="Y11" s="28" t="str"/>
      <x:c r="Z11" s="28" t="str"/>
      <x:c r="AA11" s="28" t="str"/>
      <x:c r="AB11" s="28" t="n">
        <x:f>SUMPRODUCT(--(P11:AA11&lt;&gt;""),--(P$5:AA$5&lt;=$D$2))</x:f>
        <x:v>1</x:v>
      </x:c>
      <x:c r="AC11" s="28" t="n">
        <x:f>SUMPRODUCT(--(P11:AA11="Ejecutado"),--(P$5:AA$5&lt;=$D$2))</x:f>
        <x:v>1</x:v>
      </x:c>
      <x:c r="AD11" s="75" t="n">
        <x:f>IF(AB11=0,0,AC11/AB11)</x:f>
        <x:v>1</x:v>
      </x:c>
      <x:c r="AE11" s="28" t="str">
        <x:f>IF(AD11=1,"Cumplida",IF(AD11&gt;=0.8,"Cumplida con ajustes",IF(AD11&gt;0,"En ejecución","Pendiente")))</x:f>
        <x:v>Cumplida</x:v>
      </x:c>
    </x:row>
    <x:row r="12" ht="20" customHeight="1">
      <x:c r="A12" s="28" t="str">
        <x:v>PAT-006</x:v>
      </x:c>
      <x:c r="B12" s="28" t="n">
        <x:v>2023</x:v>
      </x:c>
      <x:c r="C12" s="28" t="str">
        <x:v>Todas las sedes</x:v>
      </x:c>
      <x:c r="D12" s="28" t="str">
        <x:v>Planear</x:v>
      </x:c>
      <x:c r="E12" s="28" t="str">
        <x:v>Requisitos legales</x:v>
      </x:c>
      <x:c r="F12" s="28" t="str">
        <x:v>Matriz legal</x:v>
      </x:c>
      <x:c r="G12" s="28" t="str">
        <x:v>Actualizar la matriz legal aplicable en SST</x:v>
      </x:c>
      <x:c r="H12" s="28" t="str">
        <x:v>Mantener identificados y evaluados los requisitos legales</x:v>
      </x:c>
      <x:c r="I12" s="28" t="str">
        <x:v>2 actualizaciones anuales</x:v>
      </x:c>
      <x:c r="J12" s="28" t="str">
        <x:v>% de requisitos legales actualizados</x:v>
      </x:c>
      <x:c r="K12" s="28" t="str">
        <x:v>Semestral</x:v>
      </x:c>
      <x:c r="L12" s="28" t="str">
        <x:v>Líder SST / Jurídica</x:v>
      </x:c>
      <x:c r="M12" s="73" t="n">
        <x:v>20</x:v>
      </x:c>
      <x:c r="N12" s="74" t="n">
        <x:v>2000000</x:v>
      </x:c>
      <x:c r="O12" s="28" t="str">
        <x:v>Matriz legal</x:v>
      </x:c>
      <x:c r="P12" s="28" t="str"/>
      <x:c r="Q12" s="28" t="str"/>
      <x:c r="R12" s="28" t="str">
        <x:v>Ejecutado</x:v>
      </x:c>
      <x:c r="S12" s="28" t="str"/>
      <x:c r="T12" s="28" t="str"/>
      <x:c r="U12" s="28" t="str"/>
      <x:c r="V12" s="28" t="str"/>
      <x:c r="W12" s="28" t="str"/>
      <x:c r="X12" s="28" t="str">
        <x:v>Ejecutado</x:v>
      </x:c>
      <x:c r="Y12" s="28" t="str"/>
      <x:c r="Z12" s="28" t="str"/>
      <x:c r="AA12" s="28" t="str"/>
      <x:c r="AB12" s="28" t="n">
        <x:f>SUMPRODUCT(--(P12:AA12&lt;&gt;""),--(P$5:AA$5&lt;=$D$2))</x:f>
        <x:v>2</x:v>
      </x:c>
      <x:c r="AC12" s="28" t="n">
        <x:f>SUMPRODUCT(--(P12:AA12="Ejecutado"),--(P$5:AA$5&lt;=$D$2))</x:f>
        <x:v>2</x:v>
      </x:c>
      <x:c r="AD12" s="75" t="n">
        <x:f>IF(AB12=0,0,AC12/AB12)</x:f>
        <x:v>1</x:v>
      </x:c>
      <x:c r="AE12" s="28" t="str">
        <x:f>IF(AD12=1,"Cumplida",IF(AD12&gt;=0.8,"Cumplida con ajustes",IF(AD12&gt;0,"En ejecución","Pendiente")))</x:f>
        <x:v>Cumplida</x:v>
      </x:c>
    </x:row>
    <x:row r="13" ht="20" customHeight="1">
      <x:c r="A13" s="28" t="str">
        <x:v>PAT-007</x:v>
      </x:c>
      <x:c r="B13" s="28" t="n">
        <x:v>2023</x:v>
      </x:c>
      <x:c r="C13" s="28" t="str">
        <x:v>Todas las sedes</x:v>
      </x:c>
      <x:c r="D13" s="28" t="str">
        <x:v>Planear</x:v>
      </x:c>
      <x:c r="E13" s="28" t="str">
        <x:v>Capacitación</x:v>
      </x:c>
      <x:c r="F13" s="28" t="str">
        <x:v>Plan de formación</x:v>
      </x:c>
      <x:c r="G13" s="28" t="str">
        <x:v>Definir y aprobar el plan anual de formación y capacitaciones en SST</x:v>
      </x:c>
      <x:c r="H13" s="28" t="str">
        <x:v>Garantizar competencias del personal</x:v>
      </x:c>
      <x:c r="I13" s="28" t="str">
        <x:v>1 plan de formación aprobado</x:v>
      </x:c>
      <x:c r="J13" s="28" t="str">
        <x:v>Plan anual de formación aprobado</x:v>
      </x:c>
      <x:c r="K13" s="28" t="str">
        <x:v>Anual</x:v>
      </x:c>
      <x:c r="L13" s="28" t="str">
        <x:v>Líder SST / Talento Humano</x:v>
      </x:c>
      <x:c r="M13" s="73" t="n">
        <x:v>12</x:v>
      </x:c>
      <x:c r="N13" s="74" t="n">
        <x:v>900000</x:v>
      </x:c>
      <x:c r="O13" s="28" t="str">
        <x:v>Plan de formación</x:v>
      </x:c>
      <x:c r="P13" s="28" t="str">
        <x:v>Ejecutado</x:v>
      </x:c>
      <x:c r="Q13" s="28" t="str"/>
      <x:c r="R13" s="28" t="str"/>
      <x:c r="S13" s="28" t="str"/>
      <x:c r="T13" s="28" t="str"/>
      <x:c r="U13" s="28" t="str"/>
      <x:c r="V13" s="28" t="str"/>
      <x:c r="W13" s="28" t="str"/>
      <x:c r="X13" s="28" t="str"/>
      <x:c r="Y13" s="28" t="str"/>
      <x:c r="Z13" s="28" t="str"/>
      <x:c r="AA13" s="28" t="str"/>
      <x:c r="AB13" s="28" t="n">
        <x:f>SUMPRODUCT(--(P13:AA13&lt;&gt;""),--(P$5:AA$5&lt;=$D$2))</x:f>
        <x:v>1</x:v>
      </x:c>
      <x:c r="AC13" s="28" t="n">
        <x:f>SUMPRODUCT(--(P13:AA13="Ejecutado"),--(P$5:AA$5&lt;=$D$2))</x:f>
        <x:v>1</x:v>
      </x:c>
      <x:c r="AD13" s="75" t="n">
        <x:f>IF(AB13=0,0,AC13/AB13)</x:f>
        <x:v>1</x:v>
      </x:c>
      <x:c r="AE13" s="28" t="str">
        <x:f>IF(AD13=1,"Cumplida",IF(AD13&gt;=0.8,"Cumplida con ajustes",IF(AD13&gt;0,"En ejecución","Pendiente")))</x:f>
        <x:v>Cumplida</x:v>
      </x:c>
    </x:row>
    <x:row r="14" ht="20" customHeight="1">
      <x:c r="A14" s="28" t="str">
        <x:v>PAT-008</x:v>
      </x:c>
      <x:c r="B14" s="28" t="n">
        <x:v>2023</x:v>
      </x:c>
      <x:c r="C14" s="28" t="str">
        <x:v>Todas las sedes</x:v>
      </x:c>
      <x:c r="D14" s="28" t="str">
        <x:v>Planear</x:v>
      </x:c>
      <x:c r="E14" s="28" t="str">
        <x:v>Participación</x:v>
      </x:c>
      <x:c r="F14" s="28" t="str">
        <x:v>COPASST y CCL</x:v>
      </x:c>
      <x:c r="G14" s="28" t="str">
        <x:v>Establecer cronograma anual de reuniones de COPASST y Comité de Convivencia Laboral</x:v>
      </x:c>
      <x:c r="H14" s="28" t="str">
        <x:v>Asegurar la participación de los comités</x:v>
      </x:c>
      <x:c r="I14" s="28" t="str">
        <x:v>12 reuniones programadas por comité</x:v>
      </x:c>
      <x:c r="J14" s="28" t="str">
        <x:v>Cronograma de comités aprobado</x:v>
      </x:c>
      <x:c r="K14" s="28" t="str">
        <x:v>Anual</x:v>
      </x:c>
      <x:c r="L14" s="28" t="str">
        <x:v>Líder SST / Talento Humano</x:v>
      </x:c>
      <x:c r="M14" s="73" t="n">
        <x:v>10</x:v>
      </x:c>
      <x:c r="N14" s="74" t="n">
        <x:v>500000</x:v>
      </x:c>
      <x:c r="O14" s="28" t="str">
        <x:v>Calendario institucional</x:v>
      </x:c>
      <x:c r="P14" s="28" t="str">
        <x:v>Ejecutado</x:v>
      </x:c>
      <x:c r="Q14" s="28" t="str"/>
      <x:c r="R14" s="28" t="str"/>
      <x:c r="S14" s="28" t="str"/>
      <x:c r="T14" s="28" t="str"/>
      <x:c r="U14" s="28" t="str"/>
      <x:c r="V14" s="28" t="str"/>
      <x:c r="W14" s="28" t="str"/>
      <x:c r="X14" s="28" t="str"/>
      <x:c r="Y14" s="28" t="str"/>
      <x:c r="Z14" s="28" t="str"/>
      <x:c r="AA14" s="28" t="str"/>
      <x:c r="AB14" s="28" t="n">
        <x:f>SUMPRODUCT(--(P14:AA14&lt;&gt;""),--(P$5:AA$5&lt;=$D$2))</x:f>
        <x:v>1</x:v>
      </x:c>
      <x:c r="AC14" s="28" t="n">
        <x:f>SUMPRODUCT(--(P14:AA14="Ejecutado"),--(P$5:AA$5&lt;=$D$2))</x:f>
        <x:v>1</x:v>
      </x:c>
      <x:c r="AD14" s="75" t="n">
        <x:f>IF(AB14=0,0,AC14/AB14)</x:f>
        <x:v>1</x:v>
      </x:c>
      <x:c r="AE14" s="28" t="str">
        <x:f>IF(AD14=1,"Cumplida",IF(AD14&gt;=0.8,"Cumplida con ajustes",IF(AD14&gt;0,"En ejecución","Pendiente")))</x:f>
        <x:v>Cumplida</x:v>
      </x:c>
    </x:row>
    <x:row r="15" ht="20" customHeight="1">
      <x:c r="A15" s="28" t="str">
        <x:v>PAT-009</x:v>
      </x:c>
      <x:c r="B15" s="28" t="n">
        <x:v>2023</x:v>
      </x:c>
      <x:c r="C15" s="28" t="str">
        <x:v>Todas las sedes</x:v>
      </x:c>
      <x:c r="D15" s="28" t="str">
        <x:v>Planear</x:v>
      </x:c>
      <x:c r="E15" s="28" t="str">
        <x:v>Emergencias</x:v>
      </x:c>
      <x:c r="F15" s="28" t="str">
        <x:v>Plan de emergencias</x:v>
      </x:c>
      <x:c r="G15" s="28" t="str">
        <x:v>Revisar y actualizar el plan de prevención, preparación y respuesta ante emergencias</x:v>
      </x:c>
      <x:c r="H15" s="28" t="str">
        <x:v>Asegurar respuesta efectiva ante emergencias</x:v>
      </x:c>
      <x:c r="I15" s="28" t="str">
        <x:v>1 plan de emergencias actualizado</x:v>
      </x:c>
      <x:c r="J15" s="28" t="str">
        <x:v>Plan actualizado y divulgado</x:v>
      </x:c>
      <x:c r="K15" s="28" t="str">
        <x:v>Anual</x:v>
      </x:c>
      <x:c r="L15" s="28" t="str">
        <x:v>Líder SST / Brigada</x:v>
      </x:c>
      <x:c r="M15" s="73" t="n">
        <x:v>24</x:v>
      </x:c>
      <x:c r="N15" s="74" t="n">
        <x:v>2500000</x:v>
      </x:c>
      <x:c r="O15" s="28" t="str">
        <x:v>Plan de emergencias</x:v>
      </x:c>
      <x:c r="P15" s="28" t="str"/>
      <x:c r="Q15" s="28" t="str">
        <x:v>Ejecutado</x:v>
      </x:c>
      <x:c r="R15" s="28" t="str"/>
      <x:c r="S15" s="28" t="str"/>
      <x:c r="T15" s="28" t="str"/>
      <x:c r="U15" s="28" t="str"/>
      <x:c r="V15" s="28" t="str"/>
      <x:c r="W15" s="28" t="str"/>
      <x:c r="X15" s="28" t="str"/>
      <x:c r="Y15" s="28" t="str"/>
      <x:c r="Z15" s="28" t="str"/>
      <x:c r="AA15" s="28" t="str"/>
      <x:c r="AB15" s="28" t="n">
        <x:f>SUMPRODUCT(--(P15:AA15&lt;&gt;""),--(P$5:AA$5&lt;=$D$2))</x:f>
        <x:v>1</x:v>
      </x:c>
      <x:c r="AC15" s="28" t="n">
        <x:f>SUMPRODUCT(--(P15:AA15="Ejecutado"),--(P$5:AA$5&lt;=$D$2))</x:f>
        <x:v>1</x:v>
      </x:c>
      <x:c r="AD15" s="75" t="n">
        <x:f>IF(AB15=0,0,AC15/AB15)</x:f>
        <x:v>1</x:v>
      </x:c>
      <x:c r="AE15" s="28" t="str">
        <x:f>IF(AD15=1,"Cumplida",IF(AD15&gt;=0.8,"Cumplida con ajustes",IF(AD15&gt;0,"En ejecución","Pendiente")))</x:f>
        <x:v>Cumplida</x:v>
      </x:c>
    </x:row>
    <x:row r="16" ht="20" customHeight="1">
      <x:c r="A16" s="28" t="str">
        <x:v>PAT-010</x:v>
      </x:c>
      <x:c r="B16" s="28" t="n">
        <x:v>2023</x:v>
      </x:c>
      <x:c r="C16" s="28" t="str">
        <x:v>Todas las sedes</x:v>
      </x:c>
      <x:c r="D16" s="28" t="str">
        <x:v>Planear</x:v>
      </x:c>
      <x:c r="E16" s="28" t="str">
        <x:v>Contratistas</x:v>
      </x:c>
      <x:c r="F16" s="28" t="str">
        <x:v>Gestión de contratistas</x:v>
      </x:c>
      <x:c r="G16" s="28" t="str">
        <x:v>Definir cronograma anual de verificación SST a contratistas y proveedores</x:v>
      </x:c>
      <x:c r="H16" s="28" t="str">
        <x:v>Controlar el cumplimiento SST de terceros</x:v>
      </x:c>
      <x:c r="I16" s="28" t="str">
        <x:v>4 ciclos de verificación programados</x:v>
      </x:c>
      <x:c r="J16" s="28" t="str">
        <x:v>Cronograma de evaluación aprobado</x:v>
      </x:c>
      <x:c r="K16" s="28" t="str">
        <x:v>Anual</x:v>
      </x:c>
      <x:c r="L16" s="28" t="str">
        <x:v>Líder SST / Compras</x:v>
      </x:c>
      <x:c r="M16" s="73" t="n">
        <x:v>10</x:v>
      </x:c>
      <x:c r="N16" s="74" t="n">
        <x:v>700000</x:v>
      </x:c>
      <x:c r="O16" s="28" t="str">
        <x:v>Matriz de proveedores</x:v>
      </x:c>
      <x:c r="P16" s="28" t="str"/>
      <x:c r="Q16" s="28" t="str">
        <x:v>Ejecutado</x:v>
      </x:c>
      <x:c r="R16" s="28" t="str"/>
      <x:c r="S16" s="28" t="str"/>
      <x:c r="T16" s="28" t="str"/>
      <x:c r="U16" s="28" t="str"/>
      <x:c r="V16" s="28" t="str"/>
      <x:c r="W16" s="28" t="str"/>
      <x:c r="X16" s="28" t="str"/>
      <x:c r="Y16" s="28" t="str"/>
      <x:c r="Z16" s="28" t="str"/>
      <x:c r="AA16" s="28" t="str"/>
      <x:c r="AB16" s="28" t="n">
        <x:f>SUMPRODUCT(--(P16:AA16&lt;&gt;""),--(P$5:AA$5&lt;=$D$2))</x:f>
        <x:v>1</x:v>
      </x:c>
      <x:c r="AC16" s="28" t="n">
        <x:f>SUMPRODUCT(--(P16:AA16="Ejecutado"),--(P$5:AA$5&lt;=$D$2))</x:f>
        <x:v>1</x:v>
      </x:c>
      <x:c r="AD16" s="75" t="n">
        <x:f>IF(AB16=0,0,AC16/AB16)</x:f>
        <x:v>1</x:v>
      </x:c>
      <x:c r="AE16" s="28" t="str">
        <x:f>IF(AD16=1,"Cumplida",IF(AD16&gt;=0.8,"Cumplida con ajustes",IF(AD16&gt;0,"En ejecución","Pendiente")))</x:f>
        <x:v>Cumplida</x:v>
      </x:c>
    </x:row>
    <x:row r="17" ht="20" customHeight="1">
      <x:c r="A17" s="28" t="str">
        <x:v>PAT-011</x:v>
      </x:c>
      <x:c r="B17" s="28" t="n">
        <x:v>2023</x:v>
      </x:c>
      <x:c r="C17" s="28" t="str">
        <x:v>Todas las sedes</x:v>
      </x:c>
      <x:c r="D17" s="28" t="str">
        <x:v>Hacer</x:v>
      </x:c>
      <x:c r="E17" s="28" t="str">
        <x:v>Capacitación</x:v>
      </x:c>
      <x:c r="F17" s="28" t="str">
        <x:v>Inducción y reinducción</x:v>
      </x:c>
      <x:c r="G17" s="28" t="str">
        <x:v>Ejecutar inducción y reinducción en SST al personal</x:v>
      </x:c>
      <x:c r="H17" s="28" t="str">
        <x:v>Fortalecer el conocimiento de peligros, controles y deberes</x:v>
      </x:c>
      <x:c r="I17" s="28" t="str">
        <x:v>12 jornadas ejecutadas</x:v>
      </x:c>
      <x:c r="J17" s="28" t="str">
        <x:v>% de personal capacitado</x:v>
      </x:c>
      <x:c r="K17" s="28" t="str">
        <x:v>Mensual</x:v>
      </x:c>
      <x:c r="L17" s="28" t="str">
        <x:v>Talento Humano / SST</x:v>
      </x:c>
      <x:c r="M17" s="73" t="n">
        <x:v>36</x:v>
      </x:c>
      <x:c r="N17" s="74" t="n">
        <x:v>3600000</x:v>
      </x:c>
      <x:c r="O17" s="28" t="str">
        <x:v>Forms / listas de asistencia</x:v>
      </x:c>
      <x:c r="P17" s="28" t="str">
        <x:v>Ejecutado</x:v>
      </x:c>
      <x:c r="Q17" s="28" t="str">
        <x:v>Ejecutado</x:v>
      </x:c>
      <x:c r="R17" s="28" t="str">
        <x:v>Ejecutado</x:v>
      </x:c>
      <x:c r="S17" s="28" t="str">
        <x:v>Ejecutado</x:v>
      </x:c>
      <x:c r="T17" s="28" t="str">
        <x:v>Ejecutado</x:v>
      </x:c>
      <x:c r="U17" s="28" t="str">
        <x:v>Ejecutado</x:v>
      </x:c>
      <x:c r="V17" s="28" t="str">
        <x:v>Ejecutado</x:v>
      </x:c>
      <x:c r="W17" s="28" t="str">
        <x:v>Ejecutado</x:v>
      </x:c>
      <x:c r="X17" s="28" t="str">
        <x:v>Ejecutado</x:v>
      </x:c>
      <x:c r="Y17" s="28" t="str">
        <x:v>Ejecutado</x:v>
      </x:c>
      <x:c r="Z17" s="28" t="str">
        <x:v>Ejecutado</x:v>
      </x:c>
      <x:c r="AA17" s="28" t="str">
        <x:v>Ejecutado</x:v>
      </x:c>
      <x:c r="AB17" s="28" t="n">
        <x:f>SUMPRODUCT(--(P17:AA17&lt;&gt;""),--(P$5:AA$5&lt;=$D$2))</x:f>
        <x:v>12</x:v>
      </x:c>
      <x:c r="AC17" s="28" t="n">
        <x:f>SUMPRODUCT(--(P17:AA17="Ejecutado"),--(P$5:AA$5&lt;=$D$2))</x:f>
        <x:v>12</x:v>
      </x:c>
      <x:c r="AD17" s="75" t="n">
        <x:f>IF(AB17=0,0,AC17/AB17)</x:f>
        <x:v>1</x:v>
      </x:c>
      <x:c r="AE17" s="28" t="str">
        <x:f>IF(AD17=1,"Cumplida",IF(AD17&gt;=0.8,"Cumplida con ajustes",IF(AD17&gt;0,"En ejecución","Pendiente")))</x:f>
        <x:v>Cumplida</x:v>
      </x:c>
    </x:row>
    <x:row r="18" ht="20" customHeight="1">
      <x:c r="A18" s="28" t="str">
        <x:v>PAT-012</x:v>
      </x:c>
      <x:c r="B18" s="28" t="n">
        <x:v>2023</x:v>
      </x:c>
      <x:c r="C18" s="28" t="str">
        <x:v>Todas las sedes</x:v>
      </x:c>
      <x:c r="D18" s="28" t="str">
        <x:v>Hacer</x:v>
      </x:c>
      <x:c r="E18" s="28" t="str">
        <x:v>Inspecciones</x:v>
      </x:c>
      <x:c r="F18" s="28" t="str">
        <x:v>Inspecciones planeadas</x:v>
      </x:c>
      <x:c r="G18" s="28" t="str">
        <x:v>Realizar inspecciones planeadas de seguridad en áreas, equipos y puestos de trabajo</x:v>
      </x:c>
      <x:c r="H18" s="28" t="str">
        <x:v>Identificar actos y condiciones inseguras</x:v>
      </x:c>
      <x:c r="I18" s="28" t="str">
        <x:v>12 inspecciones ejecutadas</x:v>
      </x:c>
      <x:c r="J18" s="28" t="str">
        <x:v>% de inspecciones ejecutadas</x:v>
      </x:c>
      <x:c r="K18" s="28" t="str">
        <x:v>Mensual</x:v>
      </x:c>
      <x:c r="L18" s="28" t="str">
        <x:v>SST / Jefes de área</x:v>
      </x:c>
      <x:c r="M18" s="73" t="n">
        <x:v>40</x:v>
      </x:c>
      <x:c r="N18" s="74" t="n">
        <x:v>3000000</x:v>
      </x:c>
      <x:c r="O18" s="28" t="str">
        <x:v>Checklists digitales</x:v>
      </x:c>
      <x:c r="P18" s="28" t="str">
        <x:v>Ejecutado</x:v>
      </x:c>
      <x:c r="Q18" s="28" t="str">
        <x:v>Ejecutado</x:v>
      </x:c>
      <x:c r="R18" s="28" t="str">
        <x:v>Reprogramado</x:v>
      </x:c>
      <x:c r="S18" s="28" t="str">
        <x:v>Ejecutado</x:v>
      </x:c>
      <x:c r="T18" s="28" t="str">
        <x:v>Ejecutado</x:v>
      </x:c>
      <x:c r="U18" s="28" t="str">
        <x:v>Ejecutado</x:v>
      </x:c>
      <x:c r="V18" s="28" t="str">
        <x:v>Ejecutado</x:v>
      </x:c>
      <x:c r="W18" s="28" t="str">
        <x:v>Ejecutado</x:v>
      </x:c>
      <x:c r="X18" s="28" t="str">
        <x:v>Ejecutado</x:v>
      </x:c>
      <x:c r="Y18" s="28" t="str">
        <x:v>Ejecutado</x:v>
      </x:c>
      <x:c r="Z18" s="28" t="str">
        <x:v>Ejecutado</x:v>
      </x:c>
      <x:c r="AA18" s="28" t="str">
        <x:v>Ejecutado</x:v>
      </x:c>
      <x:c r="AB18" s="28" t="n">
        <x:f>SUMPRODUCT(--(P18:AA18&lt;&gt;""),--(P$5:AA$5&lt;=$D$2))</x:f>
        <x:v>12</x:v>
      </x:c>
      <x:c r="AC18" s="28" t="n">
        <x:f>SUMPRODUCT(--(P18:AA18="Ejecutado"),--(P$5:AA$5&lt;=$D$2))</x:f>
        <x:v>11</x:v>
      </x:c>
      <x:c r="AD18" s="75" t="n">
        <x:f>IF(AB18=0,0,AC18/AB18)</x:f>
        <x:v>0.9166666666666666</x:v>
      </x:c>
      <x:c r="AE18" s="28" t="str">
        <x:f>IF(AD18=1,"Cumplida",IF(AD18&gt;=0.8,"Cumplida con ajustes",IF(AD18&gt;0,"En ejecución","Pendiente")))</x:f>
        <x:v>Cumplida con ajustes</x:v>
      </x:c>
    </x:row>
    <x:row r="19" ht="20" customHeight="1">
      <x:c r="A19" s="28" t="str">
        <x:v>PAT-013</x:v>
      </x:c>
      <x:c r="B19" s="28" t="n">
        <x:v>2023</x:v>
      </x:c>
      <x:c r="C19" s="28" t="str">
        <x:v>Todas las sedes</x:v>
      </x:c>
      <x:c r="D19" s="28" t="str">
        <x:v>Hacer</x:v>
      </x:c>
      <x:c r="E19" s="28" t="str">
        <x:v>Participación</x:v>
      </x:c>
      <x:c r="F19" s="28" t="str">
        <x:v>Reuniones COPASST</x:v>
      </x:c>
      <x:c r="G19" s="28" t="str">
        <x:v>Desarrollar reuniones mensuales de COPASST con seguimiento a compromisos</x:v>
      </x:c>
      <x:c r="H19" s="28" t="str">
        <x:v>Dar seguimiento participativo al SG-SST</x:v>
      </x:c>
      <x:c r="I19" s="28" t="str">
        <x:v>12 reuniones ejecutadas</x:v>
      </x:c>
      <x:c r="J19" s="28" t="str">
        <x:v>% de reuniones COPASST realizadas</x:v>
      </x:c>
      <x:c r="K19" s="28" t="str">
        <x:v>Mensual</x:v>
      </x:c>
      <x:c r="L19" s="28" t="str">
        <x:v>COPASST / SST</x:v>
      </x:c>
      <x:c r="M19" s="73" t="n">
        <x:v>30</x:v>
      </x:c>
      <x:c r="N19" s="74" t="n">
        <x:v>1200000</x:v>
      </x:c>
      <x:c r="O19" s="28" t="str">
        <x:v>Actas y seguimiento</x:v>
      </x:c>
      <x:c r="P19" s="28" t="str">
        <x:v>Ejecutado</x:v>
      </x:c>
      <x:c r="Q19" s="28" t="str">
        <x:v>Ejecutado</x:v>
      </x:c>
      <x:c r="R19" s="28" t="str">
        <x:v>Ejecutado</x:v>
      </x:c>
      <x:c r="S19" s="28" t="str">
        <x:v>Ejecutado</x:v>
      </x:c>
      <x:c r="T19" s="28" t="str">
        <x:v>Ejecutado</x:v>
      </x:c>
      <x:c r="U19" s="28" t="str">
        <x:v>Ejecutado</x:v>
      </x:c>
      <x:c r="V19" s="28" t="str">
        <x:v>Ejecutado</x:v>
      </x:c>
      <x:c r="W19" s="28" t="str">
        <x:v>Ejecutado</x:v>
      </x:c>
      <x:c r="X19" s="28" t="str">
        <x:v>Ejecutado</x:v>
      </x:c>
      <x:c r="Y19" s="28" t="str">
        <x:v>Ejecutado</x:v>
      </x:c>
      <x:c r="Z19" s="28" t="str">
        <x:v>Ejecutado</x:v>
      </x:c>
      <x:c r="AA19" s="28" t="str">
        <x:v>Ejecutado</x:v>
      </x:c>
      <x:c r="AB19" s="28" t="n">
        <x:f>SUMPRODUCT(--(P19:AA19&lt;&gt;""),--(P$5:AA$5&lt;=$D$2))</x:f>
        <x:v>12</x:v>
      </x:c>
      <x:c r="AC19" s="28" t="n">
        <x:f>SUMPRODUCT(--(P19:AA19="Ejecutado"),--(P$5:AA$5&lt;=$D$2))</x:f>
        <x:v>12</x:v>
      </x:c>
      <x:c r="AD19" s="75" t="n">
        <x:f>IF(AB19=0,0,AC19/AB19)</x:f>
        <x:v>1</x:v>
      </x:c>
      <x:c r="AE19" s="28" t="str">
        <x:f>IF(AD19=1,"Cumplida",IF(AD19&gt;=0.8,"Cumplida con ajustes",IF(AD19&gt;0,"En ejecución","Pendiente")))</x:f>
        <x:v>Cumplida</x:v>
      </x:c>
    </x:row>
    <x:row r="20" ht="20" customHeight="1">
      <x:c r="A20" s="28" t="str">
        <x:v>PAT-014</x:v>
      </x:c>
      <x:c r="B20" s="28" t="n">
        <x:v>2023</x:v>
      </x:c>
      <x:c r="C20" s="28" t="str">
        <x:v>Todas las sedes</x:v>
      </x:c>
      <x:c r="D20" s="28" t="str">
        <x:v>Hacer</x:v>
      </x:c>
      <x:c r="E20" s="28" t="str">
        <x:v>Emergencias</x:v>
      </x:c>
      <x:c r="F20" s="28" t="str">
        <x:v>Brigada y simulacros</x:v>
      </x:c>
      <x:c r="G20" s="28" t="str">
        <x:v>Ejecutar capacitaciones de brigada y simulacros de emergencia</x:v>
      </x:c>
      <x:c r="H20" s="28" t="str">
        <x:v>Fortalecer la preparación ante emergencias</x:v>
      </x:c>
      <x:c r="I20" s="28" t="str">
        <x:v>4 actividades ejecutadas</x:v>
      </x:c>
      <x:c r="J20" s="28" t="str">
        <x:v>% de simulacros/capacitaciones ejecutadas</x:v>
      </x:c>
      <x:c r="K20" s="28" t="str">
        <x:v>Trimestral</x:v>
      </x:c>
      <x:c r="L20" s="28" t="str">
        <x:v>Brigada / SST</x:v>
      </x:c>
      <x:c r="M20" s="73" t="n">
        <x:v>40</x:v>
      </x:c>
      <x:c r="N20" s="74" t="n">
        <x:v>4200000</x:v>
      </x:c>
      <x:c r="O20" s="28" t="str">
        <x:v>Plan de emergencias</x:v>
      </x:c>
      <x:c r="P20" s="28" t="str"/>
      <x:c r="Q20" s="28" t="str"/>
      <x:c r="R20" s="28" t="str">
        <x:v>Ejecutado</x:v>
      </x:c>
      <x:c r="S20" s="28" t="str"/>
      <x:c r="T20" s="28" t="str"/>
      <x:c r="U20" s="28" t="str">
        <x:v>Ejecutado</x:v>
      </x:c>
      <x:c r="V20" s="28" t="str"/>
      <x:c r="W20" s="28" t="str"/>
      <x:c r="X20" s="28" t="str">
        <x:v>Ejecutado</x:v>
      </x:c>
      <x:c r="Y20" s="28" t="str"/>
      <x:c r="Z20" s="28" t="str"/>
      <x:c r="AA20" s="28" t="str">
        <x:v>Ejecutado</x:v>
      </x:c>
      <x:c r="AB20" s="28" t="n">
        <x:f>SUMPRODUCT(--(P20:AA20&lt;&gt;""),--(P$5:AA$5&lt;=$D$2))</x:f>
        <x:v>4</x:v>
      </x:c>
      <x:c r="AC20" s="28" t="n">
        <x:f>SUMPRODUCT(--(P20:AA20="Ejecutado"),--(P$5:AA$5&lt;=$D$2))</x:f>
        <x:v>4</x:v>
      </x:c>
      <x:c r="AD20" s="75" t="n">
        <x:f>IF(AB20=0,0,AC20/AB20)</x:f>
        <x:v>1</x:v>
      </x:c>
      <x:c r="AE20" s="28" t="str">
        <x:f>IF(AD20=1,"Cumplida",IF(AD20&gt;=0.8,"Cumplida con ajustes",IF(AD20&gt;0,"En ejecución","Pendiente")))</x:f>
        <x:v>Cumplida</x:v>
      </x:c>
    </x:row>
    <x:row r="21" ht="20" customHeight="1">
      <x:c r="A21" s="28" t="str">
        <x:v>PAT-015</x:v>
      </x:c>
      <x:c r="B21" s="28" t="n">
        <x:v>2023</x:v>
      </x:c>
      <x:c r="C21" s="28" t="str">
        <x:v>Todas las sedes</x:v>
      </x:c>
      <x:c r="D21" s="28" t="str">
        <x:v>Hacer</x:v>
      </x:c>
      <x:c r="E21" s="28" t="str">
        <x:v>Medicina del trabajo</x:v>
      </x:c>
      <x:c r="F21" s="28" t="str">
        <x:v>Exámenes médicos ocupacionales</x:v>
      </x:c>
      <x:c r="G21" s="28" t="str">
        <x:v>Programar y ejecutar exámenes médicos de ingreso, periódicos y retiro</x:v>
      </x:c>
      <x:c r="H21" s="28" t="str">
        <x:v>Vigilar el estado de salud de la población trabajadora</x:v>
      </x:c>
      <x:c r="I21" s="28" t="str">
        <x:v>2 cortes de seguimiento ejecutados</x:v>
      </x:c>
      <x:c r="J21" s="28" t="str">
        <x:v>% de cobertura de EMO</x:v>
      </x:c>
      <x:c r="K21" s="28" t="str">
        <x:v>Semestral</x:v>
      </x:c>
      <x:c r="L21" s="28" t="str">
        <x:v>Talento Humano / SST</x:v>
      </x:c>
      <x:c r="M21" s="73" t="n">
        <x:v>24</x:v>
      </x:c>
      <x:c r="N21" s="74" t="n">
        <x:v>4800000</x:v>
      </x:c>
      <x:c r="O21" s="28" t="str">
        <x:v>Base EMO</x:v>
      </x:c>
      <x:c r="P21" s="28" t="str"/>
      <x:c r="Q21" s="28" t="str"/>
      <x:c r="R21" s="28" t="str"/>
      <x:c r="S21" s="28" t="str">
        <x:v>Ejecutado</x:v>
      </x:c>
      <x:c r="T21" s="28" t="str"/>
      <x:c r="U21" s="28" t="str"/>
      <x:c r="V21" s="28" t="str"/>
      <x:c r="W21" s="28" t="str"/>
      <x:c r="X21" s="28" t="str"/>
      <x:c r="Y21" s="28" t="str">
        <x:v>Ejecutado</x:v>
      </x:c>
      <x:c r="Z21" s="28" t="str"/>
      <x:c r="AA21" s="28" t="str"/>
      <x:c r="AB21" s="28" t="n">
        <x:f>SUMPRODUCT(--(P21:AA21&lt;&gt;""),--(P$5:AA$5&lt;=$D$2))</x:f>
        <x:v>2</x:v>
      </x:c>
      <x:c r="AC21" s="28" t="n">
        <x:f>SUMPRODUCT(--(P21:AA21="Ejecutado"),--(P$5:AA$5&lt;=$D$2))</x:f>
        <x:v>2</x:v>
      </x:c>
      <x:c r="AD21" s="75" t="n">
        <x:f>IF(AB21=0,0,AC21/AB21)</x:f>
        <x:v>1</x:v>
      </x:c>
      <x:c r="AE21" s="28" t="str">
        <x:f>IF(AD21=1,"Cumplida",IF(AD21&gt;=0.8,"Cumplida con ajustes",IF(AD21&gt;0,"En ejecución","Pendiente")))</x:f>
        <x:v>Cumplida</x:v>
      </x:c>
    </x:row>
    <x:row r="22" ht="20" customHeight="1">
      <x:c r="A22" s="28" t="str">
        <x:v>PAT-016</x:v>
      </x:c>
      <x:c r="B22" s="28" t="n">
        <x:v>2023</x:v>
      </x:c>
      <x:c r="C22" s="28" t="str">
        <x:v>Todas las sedes</x:v>
      </x:c>
      <x:c r="D22" s="28" t="str">
        <x:v>Hacer</x:v>
      </x:c>
      <x:c r="E22" s="28" t="str">
        <x:v>Peligros y riesgos</x:v>
      </x:c>
      <x:c r="F22" s="28" t="str">
        <x:v>Matriz de peligros</x:v>
      </x:c>
      <x:c r="G22" s="28" t="str">
        <x:v>Actualizar la matriz de identificación de peligros, evaluación y valoración de riesgos</x:v>
      </x:c>
      <x:c r="H22" s="28" t="str">
        <x:v>Mantener controles acordes a los riesgos</x:v>
      </x:c>
      <x:c r="I22" s="28" t="str">
        <x:v>2 actualizaciones ejecutadas</x:v>
      </x:c>
      <x:c r="J22" s="28" t="str">
        <x:v>% de matriz actualizada</x:v>
      </x:c>
      <x:c r="K22" s="28" t="str">
        <x:v>Semestral</x:v>
      </x:c>
      <x:c r="L22" s="28" t="str">
        <x:v>SST / Líderes de proceso</x:v>
      </x:c>
      <x:c r="M22" s="73" t="n">
        <x:v>32</x:v>
      </x:c>
      <x:c r="N22" s="74" t="n">
        <x:v>3500000</x:v>
      </x:c>
      <x:c r="O22" s="28" t="str">
        <x:v>Matriz GTC 45</x:v>
      </x:c>
      <x:c r="P22" s="28" t="str"/>
      <x:c r="Q22" s="28" t="str"/>
      <x:c r="R22" s="28" t="str"/>
      <x:c r="S22" s="28" t="str"/>
      <x:c r="T22" s="28" t="str">
        <x:v>Ejecutado</x:v>
      </x:c>
      <x:c r="U22" s="28" t="str"/>
      <x:c r="V22" s="28" t="str"/>
      <x:c r="W22" s="28" t="str"/>
      <x:c r="X22" s="28" t="str"/>
      <x:c r="Y22" s="28" t="str"/>
      <x:c r="Z22" s="28" t="str">
        <x:v>Ejecutado</x:v>
      </x:c>
      <x:c r="AA22" s="28" t="str"/>
      <x:c r="AB22" s="28" t="n">
        <x:f>SUMPRODUCT(--(P22:AA22&lt;&gt;""),--(P$5:AA$5&lt;=$D$2))</x:f>
        <x:v>2</x:v>
      </x:c>
      <x:c r="AC22" s="28" t="n">
        <x:f>SUMPRODUCT(--(P22:AA22="Ejecutado"),--(P$5:AA$5&lt;=$D$2))</x:f>
        <x:v>2</x:v>
      </x:c>
      <x:c r="AD22" s="75" t="n">
        <x:f>IF(AB22=0,0,AC22/AB22)</x:f>
        <x:v>1</x:v>
      </x:c>
      <x:c r="AE22" s="28" t="str">
        <x:f>IF(AD22=1,"Cumplida",IF(AD22&gt;=0.8,"Cumplida con ajustes",IF(AD22&gt;0,"En ejecución","Pendiente")))</x:f>
        <x:v>Cumplida</x:v>
      </x:c>
    </x:row>
    <x:row r="23" ht="20" customHeight="1">
      <x:c r="A23" s="28" t="str">
        <x:v>PAT-017</x:v>
      </x:c>
      <x:c r="B23" s="28" t="n">
        <x:v>2023</x:v>
      </x:c>
      <x:c r="C23" s="28" t="str">
        <x:v>Todas las sedes</x:v>
      </x:c>
      <x:c r="D23" s="28" t="str">
        <x:v>Hacer</x:v>
      </x:c>
      <x:c r="E23" s="28" t="str">
        <x:v>EPP</x:v>
      </x:c>
      <x:c r="F23" s="28" t="str">
        <x:v>Gestión de EPP</x:v>
      </x:c>
      <x:c r="G23" s="28" t="str">
        <x:v>Realizar entrega, reposición y seguimiento al uso de elementos de protección personal</x:v>
      </x:c>
      <x:c r="H23" s="28" t="str">
        <x:v>Asegurar protección frente a los riesgos</x:v>
      </x:c>
      <x:c r="I23" s="28" t="str">
        <x:v>4 ciclos de control ejecutados</x:v>
      </x:c>
      <x:c r="J23" s="28" t="str">
        <x:v>% de entregas/control ejecutado</x:v>
      </x:c>
      <x:c r="K23" s="28" t="str">
        <x:v>Trimestral</x:v>
      </x:c>
      <x:c r="L23" s="28" t="str">
        <x:v>Almacén / SST</x:v>
      </x:c>
      <x:c r="M23" s="73" t="n">
        <x:v>28</x:v>
      </x:c>
      <x:c r="N23" s="74" t="n">
        <x:v>5200000</x:v>
      </x:c>
      <x:c r="O23" s="28" t="str">
        <x:v>Inventario / actas</x:v>
      </x:c>
      <x:c r="P23" s="28" t="str"/>
      <x:c r="Q23" s="28" t="str">
        <x:v>Ejecutado</x:v>
      </x:c>
      <x:c r="R23" s="28" t="str"/>
      <x:c r="S23" s="28" t="str"/>
      <x:c r="T23" s="28" t="str">
        <x:v>Ejecutado</x:v>
      </x:c>
      <x:c r="U23" s="28" t="str"/>
      <x:c r="V23" s="28" t="str"/>
      <x:c r="W23" s="28" t="str">
        <x:v>Ejecutado</x:v>
      </x:c>
      <x:c r="X23" s="28" t="str"/>
      <x:c r="Y23" s="28" t="str"/>
      <x:c r="Z23" s="28" t="str">
        <x:v>Ejecutado</x:v>
      </x:c>
      <x:c r="AA23" s="28" t="str"/>
      <x:c r="AB23" s="28" t="n">
        <x:f>SUMPRODUCT(--(P23:AA23&lt;&gt;""),--(P$5:AA$5&lt;=$D$2))</x:f>
        <x:v>4</x:v>
      </x:c>
      <x:c r="AC23" s="28" t="n">
        <x:f>SUMPRODUCT(--(P23:AA23="Ejecutado"),--(P$5:AA$5&lt;=$D$2))</x:f>
        <x:v>4</x:v>
      </x:c>
      <x:c r="AD23" s="75" t="n">
        <x:f>IF(AB23=0,0,AC23/AB23)</x:f>
        <x:v>1</x:v>
      </x:c>
      <x:c r="AE23" s="28" t="str">
        <x:f>IF(AD23=1,"Cumplida",IF(AD23&gt;=0.8,"Cumplida con ajustes",IF(AD23&gt;0,"En ejecución","Pendiente")))</x:f>
        <x:v>Cumplida</x:v>
      </x:c>
    </x:row>
    <x:row r="24" ht="20" customHeight="1">
      <x:c r="A24" s="28" t="str">
        <x:v>PAT-018</x:v>
      </x:c>
      <x:c r="B24" s="28" t="n">
        <x:v>2023</x:v>
      </x:c>
      <x:c r="C24" s="28" t="str">
        <x:v>Todas las sedes</x:v>
      </x:c>
      <x:c r="D24" s="28" t="str">
        <x:v>Hacer</x:v>
      </x:c>
      <x:c r="E24" s="28" t="str">
        <x:v>Contratistas</x:v>
      </x:c>
      <x:c r="F24" s="28" t="str">
        <x:v>Seguimiento a contratistas</x:v>
      </x:c>
      <x:c r="G24" s="28" t="str">
        <x:v>Ejecutar verificaciones SST a contratistas y proveedores críticos</x:v>
      </x:c>
      <x:c r="H24" s="28" t="str">
        <x:v>Controlar riesgos derivados de terceros</x:v>
      </x:c>
      <x:c r="I24" s="28" t="str">
        <x:v>4 verificaciones ejecutadas</x:v>
      </x:c>
      <x:c r="J24" s="28" t="str">
        <x:v>% de contratistas evaluados</x:v>
      </x:c>
      <x:c r="K24" s="28" t="str">
        <x:v>Trimestral</x:v>
      </x:c>
      <x:c r="L24" s="28" t="str">
        <x:v>Compras / SST</x:v>
      </x:c>
      <x:c r="M24" s="73" t="n">
        <x:v>24</x:v>
      </x:c>
      <x:c r="N24" s="74" t="n">
        <x:v>1800000</x:v>
      </x:c>
      <x:c r="O24" s="28" t="str">
        <x:v>Formato de evaluación</x:v>
      </x:c>
      <x:c r="P24" s="28" t="str"/>
      <x:c r="Q24" s="28" t="str"/>
      <x:c r="R24" s="28" t="str">
        <x:v>Ejecutado</x:v>
      </x:c>
      <x:c r="S24" s="28" t="str"/>
      <x:c r="T24" s="28" t="str"/>
      <x:c r="U24" s="28" t="str">
        <x:v>Ejecutado</x:v>
      </x:c>
      <x:c r="V24" s="28" t="str"/>
      <x:c r="W24" s="28" t="str"/>
      <x:c r="X24" s="28" t="str">
        <x:v>Ejecutado</x:v>
      </x:c>
      <x:c r="Y24" s="28" t="str"/>
      <x:c r="Z24" s="28" t="str"/>
      <x:c r="AA24" s="28" t="str">
        <x:v>Ejecutado</x:v>
      </x:c>
      <x:c r="AB24" s="28" t="n">
        <x:f>SUMPRODUCT(--(P24:AA24&lt;&gt;""),--(P$5:AA$5&lt;=$D$2))</x:f>
        <x:v>4</x:v>
      </x:c>
      <x:c r="AC24" s="28" t="n">
        <x:f>SUMPRODUCT(--(P24:AA24="Ejecutado"),--(P$5:AA$5&lt;=$D$2))</x:f>
        <x:v>4</x:v>
      </x:c>
      <x:c r="AD24" s="75" t="n">
        <x:f>IF(AB24=0,0,AC24/AB24)</x:f>
        <x:v>1</x:v>
      </x:c>
      <x:c r="AE24" s="28" t="str">
        <x:f>IF(AD24=1,"Cumplida",IF(AD24&gt;=0.8,"Cumplida con ajustes",IF(AD24&gt;0,"En ejecución","Pendiente")))</x:f>
        <x:v>Cumplida</x:v>
      </x:c>
    </x:row>
    <x:row r="25" ht="20" customHeight="1">
      <x:c r="A25" s="28" t="str">
        <x:v>PAT-019</x:v>
      </x:c>
      <x:c r="B25" s="28" t="n">
        <x:v>2023</x:v>
      </x:c>
      <x:c r="C25" s="28" t="str">
        <x:v>Todas las sedes</x:v>
      </x:c>
      <x:c r="D25" s="28" t="str">
        <x:v>Hacer</x:v>
      </x:c>
      <x:c r="E25" s="28" t="str">
        <x:v>Emergencias</x:v>
      </x:c>
      <x:c r="F25" s="28" t="str">
        <x:v>Equipos de emergencia</x:v>
      </x:c>
      <x:c r="G25" s="28" t="str">
        <x:v>Verificar y mantener extintores, botiquines, camillas y señalización</x:v>
      </x:c>
      <x:c r="H25" s="28" t="str">
        <x:v>Asegurar disponibilidad de recursos de emergencia</x:v>
      </x:c>
      <x:c r="I25" s="28" t="str">
        <x:v>12 seguimientos ejecutados</x:v>
      </x:c>
      <x:c r="J25" s="28" t="str">
        <x:v>% de recursos de emergencia operativos</x:v>
      </x:c>
      <x:c r="K25" s="28" t="str">
        <x:v>Mensual</x:v>
      </x:c>
      <x:c r="L25" s="28" t="str">
        <x:v>SST / Mantenimiento</x:v>
      </x:c>
      <x:c r="M25" s="73" t="n">
        <x:v>24</x:v>
      </x:c>
      <x:c r="N25" s="74" t="n">
        <x:v>2600000</x:v>
      </x:c>
      <x:c r="O25" s="28" t="str">
        <x:v>Cronograma mantenimiento</x:v>
      </x:c>
      <x:c r="P25" s="28" t="str">
        <x:v>Ejecutado</x:v>
      </x:c>
      <x:c r="Q25" s="28" t="str">
        <x:v>Ejecutado</x:v>
      </x:c>
      <x:c r="R25" s="28" t="str">
        <x:v>Ejecutado</x:v>
      </x:c>
      <x:c r="S25" s="28" t="str">
        <x:v>Ejecutado</x:v>
      </x:c>
      <x:c r="T25" s="28" t="str">
        <x:v>Ejecutado</x:v>
      </x:c>
      <x:c r="U25" s="28" t="str">
        <x:v>Ejecutado</x:v>
      </x:c>
      <x:c r="V25" s="28" t="str">
        <x:v>Ejecutado</x:v>
      </x:c>
      <x:c r="W25" s="28" t="str">
        <x:v>Ejecutado</x:v>
      </x:c>
      <x:c r="X25" s="28" t="str">
        <x:v>Ejecutado</x:v>
      </x:c>
      <x:c r="Y25" s="28" t="str">
        <x:v>Ejecutado</x:v>
      </x:c>
      <x:c r="Z25" s="28" t="str">
        <x:v>Ejecutado</x:v>
      </x:c>
      <x:c r="AA25" s="28" t="str">
        <x:v>Ejecutado</x:v>
      </x:c>
      <x:c r="AB25" s="28" t="n">
        <x:f>SUMPRODUCT(--(P25:AA25&lt;&gt;""),--(P$5:AA$5&lt;=$D$2))</x:f>
        <x:v>12</x:v>
      </x:c>
      <x:c r="AC25" s="28" t="n">
        <x:f>SUMPRODUCT(--(P25:AA25="Ejecutado"),--(P$5:AA$5&lt;=$D$2))</x:f>
        <x:v>12</x:v>
      </x:c>
      <x:c r="AD25" s="75" t="n">
        <x:f>IF(AB25=0,0,AC25/AB25)</x:f>
        <x:v>1</x:v>
      </x:c>
      <x:c r="AE25" s="28" t="str">
        <x:f>IF(AD25=1,"Cumplida",IF(AD25&gt;=0.8,"Cumplida con ajustes",IF(AD25&gt;0,"En ejecución","Pendiente")))</x:f>
        <x:v>Cumplida</x:v>
      </x:c>
    </x:row>
    <x:row r="26" ht="20" customHeight="1">
      <x:c r="A26" s="28" t="str">
        <x:v>PAT-020</x:v>
      </x:c>
      <x:c r="B26" s="28" t="n">
        <x:v>2023</x:v>
      </x:c>
      <x:c r="C26" s="28" t="str">
        <x:v>Todas las sedes</x:v>
      </x:c>
      <x:c r="D26" s="28" t="str">
        <x:v>Hacer</x:v>
      </x:c>
      <x:c r="E26" s="28" t="str">
        <x:v>Eventos</x:v>
      </x:c>
      <x:c r="F26" s="28" t="str">
        <x:v>Investigación de incidentes y accidentes</x:v>
      </x:c>
      <x:c r="G26" s="28" t="str">
        <x:v>Investigar eventos reportados y gestionar acciones derivadas</x:v>
      </x:c>
      <x:c r="H26" s="28" t="str">
        <x:v>Controlar recurrencia de eventos</x:v>
      </x:c>
      <x:c r="I26" s="28" t="str">
        <x:v>12 seguimientos mensuales</x:v>
      </x:c>
      <x:c r="J26" s="28" t="str">
        <x:v>% de investigaciones cerradas oportunamente</x:v>
      </x:c>
      <x:c r="K26" s="28" t="str">
        <x:v>Mensual</x:v>
      </x:c>
      <x:c r="L26" s="28" t="str">
        <x:v>SST / Jefes inmediatos</x:v>
      </x:c>
      <x:c r="M26" s="73" t="n">
        <x:v>30</x:v>
      </x:c>
      <x:c r="N26" s="74" t="n">
        <x:v>2200000</x:v>
      </x:c>
      <x:c r="O26" s="28" t="str">
        <x:v>Formatos investigación</x:v>
      </x:c>
      <x:c r="P26" s="28" t="str">
        <x:v>Ejecutado</x:v>
      </x:c>
      <x:c r="Q26" s="28" t="str">
        <x:v>Ejecutado</x:v>
      </x:c>
      <x:c r="R26" s="28" t="str">
        <x:v>Ejecutado</x:v>
      </x:c>
      <x:c r="S26" s="28" t="str">
        <x:v>Ejecutado</x:v>
      </x:c>
      <x:c r="T26" s="28" t="str">
        <x:v>Ejecutado</x:v>
      </x:c>
      <x:c r="U26" s="28" t="str">
        <x:v>Ejecutado</x:v>
      </x:c>
      <x:c r="V26" s="28" t="str">
        <x:v>Reprogramado</x:v>
      </x:c>
      <x:c r="W26" s="28" t="str">
        <x:v>Ejecutado</x:v>
      </x:c>
      <x:c r="X26" s="28" t="str">
        <x:v>Ejecutado</x:v>
      </x:c>
      <x:c r="Y26" s="28" t="str">
        <x:v>Ejecutado</x:v>
      </x:c>
      <x:c r="Z26" s="28" t="str">
        <x:v>Ejecutado</x:v>
      </x:c>
      <x:c r="AA26" s="28" t="str">
        <x:v>Reprogramado</x:v>
      </x:c>
      <x:c r="AB26" s="28" t="n">
        <x:f>SUMPRODUCT(--(P26:AA26&lt;&gt;""),--(P$5:AA$5&lt;=$D$2))</x:f>
        <x:v>12</x:v>
      </x:c>
      <x:c r="AC26" s="28" t="n">
        <x:f>SUMPRODUCT(--(P26:AA26="Ejecutado"),--(P$5:AA$5&lt;=$D$2))</x:f>
        <x:v>10</x:v>
      </x:c>
      <x:c r="AD26" s="75" t="n">
        <x:f>IF(AB26=0,0,AC26/AB26)</x:f>
        <x:v>0.8333333333333334</x:v>
      </x:c>
      <x:c r="AE26" s="28" t="str">
        <x:f>IF(AD26=1,"Cumplida",IF(AD26&gt;=0.8,"Cumplida con ajustes",IF(AD26&gt;0,"En ejecución","Pendiente")))</x:f>
        <x:v>Cumplida con ajustes</x:v>
      </x:c>
    </x:row>
    <x:row r="27" ht="20" customHeight="1">
      <x:c r="A27" s="28" t="str">
        <x:v>PAT-021</x:v>
      </x:c>
      <x:c r="B27" s="28" t="n">
        <x:v>2023</x:v>
      </x:c>
      <x:c r="C27" s="28" t="str">
        <x:v>Todas las sedes</x:v>
      </x:c>
      <x:c r="D27" s="28" t="str">
        <x:v>Hacer</x:v>
      </x:c>
      <x:c r="E27" s="28" t="str">
        <x:v>Promoción y prevención</x:v>
      </x:c>
      <x:c r="F27" s="28" t="str">
        <x:v>Programas de vigilancia / PyP</x:v>
      </x:c>
      <x:c r="G27" s="28" t="str">
        <x:v>Ejecutar actividades de promoción y prevención de la salud</x:v>
      </x:c>
      <x:c r="H27" s="28" t="str">
        <x:v>Prevenir afectaciones asociadas a riesgos prioritarios</x:v>
      </x:c>
      <x:c r="I27" s="28" t="str">
        <x:v>4 campañas ejecutadas</x:v>
      </x:c>
      <x:c r="J27" s="28" t="str">
        <x:v>% de campañas ejecutadas</x:v>
      </x:c>
      <x:c r="K27" s="28" t="str">
        <x:v>Trimestral</x:v>
      </x:c>
      <x:c r="L27" s="28" t="str">
        <x:v>SST / Bienestar</x:v>
      </x:c>
      <x:c r="M27" s="73" t="n">
        <x:v>26</x:v>
      </x:c>
      <x:c r="N27" s="74" t="n">
        <x:v>3000000</x:v>
      </x:c>
      <x:c r="O27" s="28" t="str">
        <x:v>Material educativo</x:v>
      </x:c>
      <x:c r="P27" s="28" t="str"/>
      <x:c r="Q27" s="28" t="str">
        <x:v>Ejecutado</x:v>
      </x:c>
      <x:c r="R27" s="28" t="str"/>
      <x:c r="S27" s="28" t="str"/>
      <x:c r="T27" s="28" t="str">
        <x:v>Ejecutado</x:v>
      </x:c>
      <x:c r="U27" s="28" t="str"/>
      <x:c r="V27" s="28" t="str"/>
      <x:c r="W27" s="28" t="str">
        <x:v>Ejecutado</x:v>
      </x:c>
      <x:c r="X27" s="28" t="str"/>
      <x:c r="Y27" s="28" t="str"/>
      <x:c r="Z27" s="28" t="str">
        <x:v>Ejecutado</x:v>
      </x:c>
      <x:c r="AA27" s="28" t="str"/>
      <x:c r="AB27" s="28" t="n">
        <x:f>SUMPRODUCT(--(P27:AA27&lt;&gt;""),--(P$5:AA$5&lt;=$D$2))</x:f>
        <x:v>4</x:v>
      </x:c>
      <x:c r="AC27" s="28" t="n">
        <x:f>SUMPRODUCT(--(P27:AA27="Ejecutado"),--(P$5:AA$5&lt;=$D$2))</x:f>
        <x:v>4</x:v>
      </x:c>
      <x:c r="AD27" s="75" t="n">
        <x:f>IF(AB27=0,0,AC27/AB27)</x:f>
        <x:v>1</x:v>
      </x:c>
      <x:c r="AE27" s="28" t="str">
        <x:f>IF(AD27=1,"Cumplida",IF(AD27&gt;=0.8,"Cumplida con ajustes",IF(AD27&gt;0,"En ejecución","Pendiente")))</x:f>
        <x:v>Cumplida</x:v>
      </x:c>
    </x:row>
    <x:row r="28" ht="20" customHeight="1">
      <x:c r="A28" s="28" t="str">
        <x:v>PAT-022</x:v>
      </x:c>
      <x:c r="B28" s="28" t="n">
        <x:v>2023</x:v>
      </x:c>
      <x:c r="C28" s="28" t="str">
        <x:v>Todas las sedes</x:v>
      </x:c>
      <x:c r="D28" s="28" t="str">
        <x:v>Hacer</x:v>
      </x:c>
      <x:c r="E28" s="28" t="str">
        <x:v>Psicosocial</x:v>
      </x:c>
      <x:c r="F28" s="28" t="str">
        <x:v>Bienestar y riesgo psicosocial</x:v>
      </x:c>
      <x:c r="G28" s="28" t="str">
        <x:v>Desarrollar actividades de bienestar, convivencia y gestión del riesgo psicosocial</x:v>
      </x:c>
      <x:c r="H28" s="28" t="str">
        <x:v>Fortalecer factores protectores</x:v>
      </x:c>
      <x:c r="I28" s="28" t="str">
        <x:v>2 jornadas ejecutadas</x:v>
      </x:c>
      <x:c r="J28" s="28" t="str">
        <x:v>% de actividades psicosociales ejecutadas</x:v>
      </x:c>
      <x:c r="K28" s="28" t="str">
        <x:v>Semestral</x:v>
      </x:c>
      <x:c r="L28" s="28" t="str">
        <x:v>Talento Humano / SST</x:v>
      </x:c>
      <x:c r="M28" s="73" t="n">
        <x:v>20</x:v>
      </x:c>
      <x:c r="N28" s="74" t="n">
        <x:v>2500000</x:v>
      </x:c>
      <x:c r="O28" s="28" t="str">
        <x:v>Encuestas / talleres</x:v>
      </x:c>
      <x:c r="P28" s="28" t="str"/>
      <x:c r="Q28" s="28" t="str"/>
      <x:c r="R28" s="28" t="str"/>
      <x:c r="S28" s="28" t="str">
        <x:v>Ejecutado</x:v>
      </x:c>
      <x:c r="T28" s="28" t="str"/>
      <x:c r="U28" s="28" t="str"/>
      <x:c r="V28" s="28" t="str"/>
      <x:c r="W28" s="28" t="str"/>
      <x:c r="X28" s="28" t="str"/>
      <x:c r="Y28" s="28" t="str">
        <x:v>Ejecutado</x:v>
      </x:c>
      <x:c r="Z28" s="28" t="str"/>
      <x:c r="AA28" s="28" t="str"/>
      <x:c r="AB28" s="28" t="n">
        <x:f>SUMPRODUCT(--(P28:AA28&lt;&gt;""),--(P$5:AA$5&lt;=$D$2))</x:f>
        <x:v>2</x:v>
      </x:c>
      <x:c r="AC28" s="28" t="n">
        <x:f>SUMPRODUCT(--(P28:AA28="Ejecutado"),--(P$5:AA$5&lt;=$D$2))</x:f>
        <x:v>2</x:v>
      </x:c>
      <x:c r="AD28" s="75" t="n">
        <x:f>IF(AB28=0,0,AC28/AB28)</x:f>
        <x:v>1</x:v>
      </x:c>
      <x:c r="AE28" s="28" t="str">
        <x:f>IF(AD28=1,"Cumplida",IF(AD28&gt;=0.8,"Cumplida con ajustes",IF(AD28&gt;0,"En ejecución","Pendiente")))</x:f>
        <x:v>Cumplida</x:v>
      </x:c>
    </x:row>
    <x:row r="29" ht="20" customHeight="1">
      <x:c r="A29" s="28" t="str">
        <x:v>PAT-023</x:v>
      </x:c>
      <x:c r="B29" s="28" t="n">
        <x:v>2023</x:v>
      </x:c>
      <x:c r="C29" s="28" t="str">
        <x:v>Todas las sedes</x:v>
      </x:c>
      <x:c r="D29" s="28" t="str">
        <x:v>Hacer</x:v>
      </x:c>
      <x:c r="E29" s="28" t="str">
        <x:v>Capacitación</x:v>
      </x:c>
      <x:c r="F29" s="28" t="str">
        <x:v>Ejecución del plan de capacitación</x:v>
      </x:c>
      <x:c r="G29" s="28" t="str">
        <x:v>Ejecutar el cronograma de formación y capacitaciones SST</x:v>
      </x:c>
      <x:c r="H29" s="28" t="str">
        <x:v>Garantizar cumplimiento del plan anual de formación</x:v>
      </x:c>
      <x:c r="I29" s="28" t="str">
        <x:v>12 actividades ejecutadas</x:v>
      </x:c>
      <x:c r="J29" s="28" t="str">
        <x:v>% de cumplimiento del plan de formación</x:v>
      </x:c>
      <x:c r="K29" s="28" t="str">
        <x:v>Mensual</x:v>
      </x:c>
      <x:c r="L29" s="28" t="str">
        <x:v>SST / Talento Humano</x:v>
      </x:c>
      <x:c r="M29" s="73" t="n">
        <x:v>36</x:v>
      </x:c>
      <x:c r="N29" s="74" t="n">
        <x:v>4200000</x:v>
      </x:c>
      <x:c r="O29" s="28" t="str">
        <x:v>Plan de formación</x:v>
      </x:c>
      <x:c r="P29" s="28" t="str">
        <x:v>Ejecutado</x:v>
      </x:c>
      <x:c r="Q29" s="28" t="str">
        <x:v>Ejecutado</x:v>
      </x:c>
      <x:c r="R29" s="28" t="str">
        <x:v>Ejecutado</x:v>
      </x:c>
      <x:c r="S29" s="28" t="str">
        <x:v>Ejecutado</x:v>
      </x:c>
      <x:c r="T29" s="28" t="str">
        <x:v>Ejecutado</x:v>
      </x:c>
      <x:c r="U29" s="28" t="str">
        <x:v>Cancelado</x:v>
      </x:c>
      <x:c r="V29" s="28" t="str">
        <x:v>Reprogramado</x:v>
      </x:c>
      <x:c r="W29" s="28" t="str">
        <x:v>Ejecutado</x:v>
      </x:c>
      <x:c r="X29" s="28" t="str">
        <x:v>Ejecutado</x:v>
      </x:c>
      <x:c r="Y29" s="28" t="str">
        <x:v>Ejecutado</x:v>
      </x:c>
      <x:c r="Z29" s="28" t="str">
        <x:v>Ejecutado</x:v>
      </x:c>
      <x:c r="AA29" s="28" t="str">
        <x:v>Ejecutado</x:v>
      </x:c>
      <x:c r="AB29" s="28" t="n">
        <x:f>SUMPRODUCT(--(P29:AA29&lt;&gt;""),--(P$5:AA$5&lt;=$D$2))</x:f>
        <x:v>12</x:v>
      </x:c>
      <x:c r="AC29" s="28" t="n">
        <x:f>SUMPRODUCT(--(P29:AA29="Ejecutado"),--(P$5:AA$5&lt;=$D$2))</x:f>
        <x:v>10</x:v>
      </x:c>
      <x:c r="AD29" s="75" t="n">
        <x:f>IF(AB29=0,0,AC29/AB29)</x:f>
        <x:v>0.8333333333333334</x:v>
      </x:c>
      <x:c r="AE29" s="28" t="str">
        <x:f>IF(AD29=1,"Cumplida",IF(AD29&gt;=0.8,"Cumplida con ajustes",IF(AD29&gt;0,"En ejecución","Pendiente")))</x:f>
        <x:v>Cumplida con ajustes</x:v>
      </x:c>
    </x:row>
    <x:row r="30" ht="20" customHeight="1">
      <x:c r="A30" s="28" t="str">
        <x:v>PAT-024</x:v>
      </x:c>
      <x:c r="B30" s="28" t="n">
        <x:v>2023</x:v>
      </x:c>
      <x:c r="C30" s="28" t="str">
        <x:v>Todas las sedes</x:v>
      </x:c>
      <x:c r="D30" s="28" t="str">
        <x:v>Hacer</x:v>
      </x:c>
      <x:c r="E30" s="28" t="str">
        <x:v>Infraestructura</x:v>
      </x:c>
      <x:c r="F30" s="28" t="str">
        <x:v>Mantenimiento preventivo</x:v>
      </x:c>
      <x:c r="G30" s="28" t="str">
        <x:v>Realizar mantenimiento preventivo a equipos críticos e infraestructura asociada a SST</x:v>
      </x:c>
      <x:c r="H30" s="28" t="str">
        <x:v>Garantizar condiciones seguras de operación</x:v>
      </x:c>
      <x:c r="I30" s="28" t="str">
        <x:v>12 mantenimientos/seguimientos ejecutados</x:v>
      </x:c>
      <x:c r="J30" s="28" t="str">
        <x:v>% de mantenimiento preventivo ejecutado</x:v>
      </x:c>
      <x:c r="K30" s="28" t="str">
        <x:v>Mensual</x:v>
      </x:c>
      <x:c r="L30" s="28" t="str">
        <x:v>Mantenimiento / SST</x:v>
      </x:c>
      <x:c r="M30" s="73" t="n">
        <x:v>36</x:v>
      </x:c>
      <x:c r="N30" s="74" t="n">
        <x:v>5600000</x:v>
      </x:c>
      <x:c r="O30" s="28" t="str">
        <x:v>Cronograma mantenimiento</x:v>
      </x:c>
      <x:c r="P30" s="28" t="str">
        <x:v>Ejecutado</x:v>
      </x:c>
      <x:c r="Q30" s="28" t="str">
        <x:v>Ejecutado</x:v>
      </x:c>
      <x:c r="R30" s="28" t="str">
        <x:v>Ejecutado</x:v>
      </x:c>
      <x:c r="S30" s="28" t="str">
        <x:v>Ejecutado</x:v>
      </x:c>
      <x:c r="T30" s="28" t="str">
        <x:v>Ejecutado</x:v>
      </x:c>
      <x:c r="U30" s="28" t="str">
        <x:v>Ejecutado</x:v>
      </x:c>
      <x:c r="V30" s="28" t="str">
        <x:v>Ejecutado</x:v>
      </x:c>
      <x:c r="W30" s="28" t="str">
        <x:v>Ejecutado</x:v>
      </x:c>
      <x:c r="X30" s="28" t="str">
        <x:v>Ejecutado</x:v>
      </x:c>
      <x:c r="Y30" s="28" t="str">
        <x:v>Cancelado</x:v>
      </x:c>
      <x:c r="Z30" s="28" t="str">
        <x:v>Ejecutado</x:v>
      </x:c>
      <x:c r="AA30" s="28" t="str">
        <x:v>Ejecutado</x:v>
      </x:c>
      <x:c r="AB30" s="28" t="n">
        <x:f>SUMPRODUCT(--(P30:AA30&lt;&gt;""),--(P$5:AA$5&lt;=$D$2))</x:f>
        <x:v>12</x:v>
      </x:c>
      <x:c r="AC30" s="28" t="n">
        <x:f>SUMPRODUCT(--(P30:AA30="Ejecutado"),--(P$5:AA$5&lt;=$D$2))</x:f>
        <x:v>11</x:v>
      </x:c>
      <x:c r="AD30" s="75" t="n">
        <x:f>IF(AB30=0,0,AC30/AB30)</x:f>
        <x:v>0.9166666666666666</x:v>
      </x:c>
      <x:c r="AE30" s="28" t="str">
        <x:f>IF(AD30=1,"Cumplida",IF(AD30&gt;=0.8,"Cumplida con ajustes",IF(AD30&gt;0,"En ejecución","Pendiente")))</x:f>
        <x:v>Cumplida con ajustes</x:v>
      </x:c>
    </x:row>
    <x:row r="31" ht="20" customHeight="1">
      <x:c r="A31" s="28" t="str">
        <x:v>PAT-025</x:v>
      </x:c>
      <x:c r="B31" s="28" t="n">
        <x:v>2023</x:v>
      </x:c>
      <x:c r="C31" s="28" t="str">
        <x:v>Todas las sedes</x:v>
      </x:c>
      <x:c r="D31" s="28" t="str">
        <x:v>Verificar</x:v>
      </x:c>
      <x:c r="E31" s="28" t="str">
        <x:v>Indicadores</x:v>
      </x:c>
      <x:c r="F31" s="28" t="str">
        <x:v>Medición de indicadores</x:v>
      </x:c>
      <x:c r="G31" s="28" t="str">
        <x:v>Medir y analizar mensualmente los indicadores de estructura, proceso y resultado del SG-SST</x:v>
      </x:c>
      <x:c r="H31" s="28" t="str">
        <x:v>Hacer seguimiento al desempeño del sistema</x:v>
      </x:c>
      <x:c r="I31" s="28" t="str">
        <x:v>12 mediciones realizadas</x:v>
      </x:c>
      <x:c r="J31" s="28" t="str">
        <x:v>% de indicadores reportados oportunamente</x:v>
      </x:c>
      <x:c r="K31" s="28" t="str">
        <x:v>Mensual</x:v>
      </x:c>
      <x:c r="L31" s="28" t="str">
        <x:v>SST / Gerencia</x:v>
      </x:c>
      <x:c r="M31" s="73" t="n">
        <x:v>24</x:v>
      </x:c>
      <x:c r="N31" s="74" t="n">
        <x:v>1500000</x:v>
      </x:c>
      <x:c r="O31" s="28" t="str">
        <x:v>Dashboard / Looker</x:v>
      </x:c>
      <x:c r="P31" s="28" t="str">
        <x:v>Ejecutado</x:v>
      </x:c>
      <x:c r="Q31" s="28" t="str">
        <x:v>Ejecutado</x:v>
      </x:c>
      <x:c r="R31" s="28" t="str">
        <x:v>Ejecutado</x:v>
      </x:c>
      <x:c r="S31" s="28" t="str">
        <x:v>Ejecutado</x:v>
      </x:c>
      <x:c r="T31" s="28" t="str">
        <x:v>Ejecutado</x:v>
      </x:c>
      <x:c r="U31" s="28" t="str">
        <x:v>Ejecutado</x:v>
      </x:c>
      <x:c r="V31" s="28" t="str">
        <x:v>Ejecutado</x:v>
      </x:c>
      <x:c r="W31" s="28" t="str">
        <x:v>Ejecutado</x:v>
      </x:c>
      <x:c r="X31" s="28" t="str">
        <x:v>Ejecutado</x:v>
      </x:c>
      <x:c r="Y31" s="28" t="str">
        <x:v>Ejecutado</x:v>
      </x:c>
      <x:c r="Z31" s="28" t="str">
        <x:v>Ejecutado</x:v>
      </x:c>
      <x:c r="AA31" s="28" t="str">
        <x:v>Ejecutado</x:v>
      </x:c>
      <x:c r="AB31" s="28" t="n">
        <x:f>SUMPRODUCT(--(P31:AA31&lt;&gt;""),--(P$5:AA$5&lt;=$D$2))</x:f>
        <x:v>12</x:v>
      </x:c>
      <x:c r="AC31" s="28" t="n">
        <x:f>SUMPRODUCT(--(P31:AA31="Ejecutado"),--(P$5:AA$5&lt;=$D$2))</x:f>
        <x:v>12</x:v>
      </x:c>
      <x:c r="AD31" s="75" t="n">
        <x:f>IF(AB31=0,0,AC31/AB31)</x:f>
        <x:v>1</x:v>
      </x:c>
      <x:c r="AE31" s="28" t="str">
        <x:f>IF(AD31=1,"Cumplida",IF(AD31&gt;=0.8,"Cumplida con ajustes",IF(AD31&gt;0,"En ejecución","Pendiente")))</x:f>
        <x:v>Cumplida</x:v>
      </x:c>
    </x:row>
    <x:row r="32" ht="20" customHeight="1">
      <x:c r="A32" s="28" t="str">
        <x:v>PAT-026</x:v>
      </x:c>
      <x:c r="B32" s="28" t="n">
        <x:v>2023</x:v>
      </x:c>
      <x:c r="C32" s="28" t="str">
        <x:v>Todas las sedes</x:v>
      </x:c>
      <x:c r="D32" s="28" t="str">
        <x:v>Verificar</x:v>
      </x:c>
      <x:c r="E32" s="28" t="str">
        <x:v>Requisitos legales</x:v>
      </x:c>
      <x:c r="F32" s="28" t="str">
        <x:v>Revisión de cumplimiento legal</x:v>
      </x:c>
      <x:c r="G32" s="28" t="str">
        <x:v>Verificar trimestralmente el cumplimiento de requisitos legales aplicables</x:v>
      </x:c>
      <x:c r="H32" s="28" t="str">
        <x:v>Detectar incumplimientos y definir acciones</x:v>
      </x:c>
      <x:c r="I32" s="28" t="str">
        <x:v>4 revisiones ejecutadas</x:v>
      </x:c>
      <x:c r="J32" s="28" t="str">
        <x:v>% de revisión legal ejecutada</x:v>
      </x:c>
      <x:c r="K32" s="28" t="str">
        <x:v>Trimestral</x:v>
      </x:c>
      <x:c r="L32" s="28" t="str">
        <x:v>SST / Jurídica</x:v>
      </x:c>
      <x:c r="M32" s="73" t="n">
        <x:v>18</x:v>
      </x:c>
      <x:c r="N32" s="74" t="n">
        <x:v>1400000</x:v>
      </x:c>
      <x:c r="O32" s="28" t="str">
        <x:v>Matriz legal</x:v>
      </x:c>
      <x:c r="P32" s="28" t="str"/>
      <x:c r="Q32" s="28" t="str"/>
      <x:c r="R32" s="28" t="str">
        <x:v>Ejecutado</x:v>
      </x:c>
      <x:c r="S32" s="28" t="str"/>
      <x:c r="T32" s="28" t="str"/>
      <x:c r="U32" s="28" t="str">
        <x:v>Ejecutado</x:v>
      </x:c>
      <x:c r="V32" s="28" t="str"/>
      <x:c r="W32" s="28" t="str"/>
      <x:c r="X32" s="28" t="str">
        <x:v>Ejecutado</x:v>
      </x:c>
      <x:c r="Y32" s="28" t="str"/>
      <x:c r="Z32" s="28" t="str"/>
      <x:c r="AA32" s="28" t="str">
        <x:v>Ejecutado</x:v>
      </x:c>
      <x:c r="AB32" s="28" t="n">
        <x:f>SUMPRODUCT(--(P32:AA32&lt;&gt;""),--(P$5:AA$5&lt;=$D$2))</x:f>
        <x:v>4</x:v>
      </x:c>
      <x:c r="AC32" s="28" t="n">
        <x:f>SUMPRODUCT(--(P32:AA32="Ejecutado"),--(P$5:AA$5&lt;=$D$2))</x:f>
        <x:v>4</x:v>
      </x:c>
      <x:c r="AD32" s="75" t="n">
        <x:f>IF(AB32=0,0,AC32/AB32)</x:f>
        <x:v>1</x:v>
      </x:c>
      <x:c r="AE32" s="28" t="str">
        <x:f>IF(AD32=1,"Cumplida",IF(AD32&gt;=0.8,"Cumplida con ajustes",IF(AD32&gt;0,"En ejecución","Pendiente")))</x:f>
        <x:v>Cumplida</x:v>
      </x:c>
    </x:row>
    <x:row r="33" ht="20" customHeight="1">
      <x:c r="A33" s="28" t="str">
        <x:v>PAT-027</x:v>
      </x:c>
      <x:c r="B33" s="28" t="n">
        <x:v>2023</x:v>
      </x:c>
      <x:c r="C33" s="28" t="str">
        <x:v>Todas las sedes</x:v>
      </x:c>
      <x:c r="D33" s="28" t="str">
        <x:v>Verificar</x:v>
      </x:c>
      <x:c r="E33" s="28" t="str">
        <x:v>Auditoría</x:v>
      </x:c>
      <x:c r="F33" s="28" t="str">
        <x:v>Auditoría interna SG-SST</x:v>
      </x:c>
      <x:c r="G33" s="28" t="str">
        <x:v>Programar y ejecutar auditoría interna del SG-SST</x:v>
      </x:c>
      <x:c r="H33" s="28" t="str">
        <x:v>Evaluar la eficacia del sistema</x:v>
      </x:c>
      <x:c r="I33" s="28" t="str">
        <x:v>1 auditoría realizada</x:v>
      </x:c>
      <x:c r="J33" s="28" t="str">
        <x:v>Auditoría interna ejecutada</x:v>
      </x:c>
      <x:c r="K33" s="28" t="str">
        <x:v>Anual</x:v>
      </x:c>
      <x:c r="L33" s="28" t="str">
        <x:v>Auditor interno / SST</x:v>
      </x:c>
      <x:c r="M33" s="73" t="n">
        <x:v>40</x:v>
      </x:c>
      <x:c r="N33" s="74" t="n">
        <x:v>3000000</x:v>
      </x:c>
      <x:c r="O33" s="28" t="str">
        <x:v>Programa de auditoría</x:v>
      </x:c>
      <x:c r="P33" s="28" t="str"/>
      <x:c r="Q33" s="28" t="str"/>
      <x:c r="R33" s="28" t="str"/>
      <x:c r="S33" s="28" t="str"/>
      <x:c r="T33" s="28" t="str"/>
      <x:c r="U33" s="28" t="str"/>
      <x:c r="V33" s="28" t="str"/>
      <x:c r="W33" s="28" t="str">
        <x:v>Ejecutado</x:v>
      </x:c>
      <x:c r="X33" s="28" t="str"/>
      <x:c r="Y33" s="28" t="str"/>
      <x:c r="Z33" s="28" t="str"/>
      <x:c r="AA33" s="28" t="str"/>
      <x:c r="AB33" s="28" t="n">
        <x:f>SUMPRODUCT(--(P33:AA33&lt;&gt;""),--(P$5:AA$5&lt;=$D$2))</x:f>
        <x:v>1</x:v>
      </x:c>
      <x:c r="AC33" s="28" t="n">
        <x:f>SUMPRODUCT(--(P33:AA33="Ejecutado"),--(P$5:AA$5&lt;=$D$2))</x:f>
        <x:v>1</x:v>
      </x:c>
      <x:c r="AD33" s="75" t="n">
        <x:f>IF(AB33=0,0,AC33/AB33)</x:f>
        <x:v>1</x:v>
      </x:c>
      <x:c r="AE33" s="28" t="str">
        <x:f>IF(AD33=1,"Cumplida",IF(AD33&gt;=0.8,"Cumplida con ajustes",IF(AD33&gt;0,"En ejecución","Pendiente")))</x:f>
        <x:v>Cumplida</x:v>
      </x:c>
    </x:row>
    <x:row r="34" ht="20" customHeight="1">
      <x:c r="A34" s="28" t="str">
        <x:v>PAT-028</x:v>
      </x:c>
      <x:c r="B34" s="28" t="n">
        <x:v>2023</x:v>
      </x:c>
      <x:c r="C34" s="28" t="str">
        <x:v>Todas las sedes</x:v>
      </x:c>
      <x:c r="D34" s="28" t="str">
        <x:v>Verificar</x:v>
      </x:c>
      <x:c r="E34" s="28" t="str">
        <x:v>Mejora continua</x:v>
      </x:c>
      <x:c r="F34" s="28" t="str">
        <x:v>Seguimiento a planes de acción</x:v>
      </x:c>
      <x:c r="G34" s="28" t="str">
        <x:v>Verificar el cierre de acciones correctivas, preventivas y de mejora</x:v>
      </x:c>
      <x:c r="H34" s="28" t="str">
        <x:v>Asegurar eficacia de las acciones</x:v>
      </x:c>
      <x:c r="I34" s="28" t="str">
        <x:v>12 seguimientos ejecutados</x:v>
      </x:c>
      <x:c r="J34" s="28" t="str">
        <x:v>% de acciones cerradas</x:v>
      </x:c>
      <x:c r="K34" s="28" t="str">
        <x:v>Mensual</x:v>
      </x:c>
      <x:c r="L34" s="28" t="str">
        <x:v>SST / Responsables de proceso</x:v>
      </x:c>
      <x:c r="M34" s="73" t="n">
        <x:v>24</x:v>
      </x:c>
      <x:c r="N34" s="74" t="n">
        <x:v>1800000</x:v>
      </x:c>
      <x:c r="O34" s="28" t="str">
        <x:v>Matriz APCM</x:v>
      </x:c>
      <x:c r="P34" s="28" t="str">
        <x:v>Ejecutado</x:v>
      </x:c>
      <x:c r="Q34" s="28" t="str">
        <x:v>Ejecutado</x:v>
      </x:c>
      <x:c r="R34" s="28" t="str">
        <x:v>Ejecutado</x:v>
      </x:c>
      <x:c r="S34" s="28" t="str">
        <x:v>Ejecutado</x:v>
      </x:c>
      <x:c r="T34" s="28" t="str">
        <x:v>Ejecutado</x:v>
      </x:c>
      <x:c r="U34" s="28" t="str">
        <x:v>Ejecutado</x:v>
      </x:c>
      <x:c r="V34" s="28" t="str">
        <x:v>Ejecutado</x:v>
      </x:c>
      <x:c r="W34" s="28" t="str">
        <x:v>Ejecutado</x:v>
      </x:c>
      <x:c r="X34" s="28" t="str">
        <x:v>Ejecutado</x:v>
      </x:c>
      <x:c r="Y34" s="28" t="str">
        <x:v>Ejecutado</x:v>
      </x:c>
      <x:c r="Z34" s="28" t="str">
        <x:v>Ejecutado</x:v>
      </x:c>
      <x:c r="AA34" s="28" t="str">
        <x:v>Ejecutado</x:v>
      </x:c>
      <x:c r="AB34" s="28" t="n">
        <x:f>SUMPRODUCT(--(P34:AA34&lt;&gt;""),--(P$5:AA$5&lt;=$D$2))</x:f>
        <x:v>12</x:v>
      </x:c>
      <x:c r="AC34" s="28" t="n">
        <x:f>SUMPRODUCT(--(P34:AA34="Ejecutado"),--(P$5:AA$5&lt;=$D$2))</x:f>
        <x:v>12</x:v>
      </x:c>
      <x:c r="AD34" s="75" t="n">
        <x:f>IF(AB34=0,0,AC34/AB34)</x:f>
        <x:v>1</x:v>
      </x:c>
      <x:c r="AE34" s="28" t="str">
        <x:f>IF(AD34=1,"Cumplida",IF(AD34&gt;=0.8,"Cumplida con ajustes",IF(AD34&gt;0,"En ejecución","Pendiente")))</x:f>
        <x:v>Cumplida</x:v>
      </x:c>
    </x:row>
    <x:row r="35" ht="20" customHeight="1">
      <x:c r="A35" s="28" t="str">
        <x:v>PAT-029</x:v>
      </x:c>
      <x:c r="B35" s="28" t="n">
        <x:v>2023</x:v>
      </x:c>
      <x:c r="C35" s="28" t="str">
        <x:v>Todas las sedes</x:v>
      </x:c>
      <x:c r="D35" s="28" t="str">
        <x:v>Verificar</x:v>
      </x:c>
      <x:c r="E35" s="28" t="str">
        <x:v>Evaluación del sistema</x:v>
      </x:c>
      <x:c r="F35" s="28" t="str">
        <x:v>Revisión final de estándares 0312</x:v>
      </x:c>
      <x:c r="G35" s="28" t="str">
        <x:v>Realizar evaluación de cierre del cumplimiento anual de estándares mínimos</x:v>
      </x:c>
      <x:c r="H35" s="28" t="str">
        <x:v>Medir avance anual del sistema</x:v>
      </x:c>
      <x:c r="I35" s="28" t="str">
        <x:v>1 evaluación de cierre ejecutada</x:v>
      </x:c>
      <x:c r="J35" s="28" t="str">
        <x:v>Resultado de autodiagnóstico de cierre</x:v>
      </x:c>
      <x:c r="K35" s="28" t="str">
        <x:v>Anual</x:v>
      </x:c>
      <x:c r="L35" s="28" t="str">
        <x:v>SST</x:v>
      </x:c>
      <x:c r="M35" s="73" t="n">
        <x:v>16</x:v>
      </x:c>
      <x:c r="N35" s="74" t="n">
        <x:v>1200000</x:v>
      </x:c>
      <x:c r="O35" s="28" t="str">
        <x:v>Autodiagnóstico</x:v>
      </x:c>
      <x:c r="P35" s="28" t="str"/>
      <x:c r="Q35" s="28" t="str"/>
      <x:c r="R35" s="28" t="str"/>
      <x:c r="S35" s="28" t="str"/>
      <x:c r="T35" s="28" t="str"/>
      <x:c r="U35" s="28" t="str"/>
      <x:c r="V35" s="28" t="str"/>
      <x:c r="W35" s="28" t="str"/>
      <x:c r="X35" s="28" t="str"/>
      <x:c r="Y35" s="28" t="str"/>
      <x:c r="Z35" s="28" t="str">
        <x:v>Ejecutado</x:v>
      </x:c>
      <x:c r="AA35" s="28" t="str"/>
      <x:c r="AB35" s="28" t="n">
        <x:f>SUMPRODUCT(--(P35:AA35&lt;&gt;""),--(P$5:AA$5&lt;=$D$2))</x:f>
        <x:v>1</x:v>
      </x:c>
      <x:c r="AC35" s="28" t="n">
        <x:f>SUMPRODUCT(--(P35:AA35="Ejecutado"),--(P$5:AA$5&lt;=$D$2))</x:f>
        <x:v>1</x:v>
      </x:c>
      <x:c r="AD35" s="75" t="n">
        <x:f>IF(AB35=0,0,AC35/AB35)</x:f>
        <x:v>1</x:v>
      </x:c>
      <x:c r="AE35" s="28" t="str">
        <x:f>IF(AD35=1,"Cumplida",IF(AD35&gt;=0.8,"Cumplida con ajustes",IF(AD35&gt;0,"En ejecución","Pendiente")))</x:f>
        <x:v>Cumplida</x:v>
      </x:c>
    </x:row>
    <x:row r="36" ht="20" customHeight="1">
      <x:c r="A36" s="28" t="str">
        <x:v>PAT-030</x:v>
      </x:c>
      <x:c r="B36" s="28" t="n">
        <x:v>2023</x:v>
      </x:c>
      <x:c r="C36" s="28" t="str">
        <x:v>Todas las sedes</x:v>
      </x:c>
      <x:c r="D36" s="28" t="str">
        <x:v>Actuar</x:v>
      </x:c>
      <x:c r="E36" s="28" t="str">
        <x:v>Dirección</x:v>
      </x:c>
      <x:c r="F36" s="28" t="str">
        <x:v>Revisión por la dirección</x:v>
      </x:c>
      <x:c r="G36" s="28" t="str">
        <x:v>Realizar revisión por la dirección del SG-SST con análisis de resultados y decisiones</x:v>
      </x:c>
      <x:c r="H36" s="28" t="str">
        <x:v>Definir acciones de mejora y recursos</x:v>
      </x:c>
      <x:c r="I36" s="28" t="str">
        <x:v>1 revisión por la dirección realizada</x:v>
      </x:c>
      <x:c r="J36" s="28" t="str">
        <x:v>Acta de revisión por la dirección</x:v>
      </x:c>
      <x:c r="K36" s="28" t="str">
        <x:v>Anual</x:v>
      </x:c>
      <x:c r="L36" s="28" t="str">
        <x:v>Gerencia / SST</x:v>
      </x:c>
      <x:c r="M36" s="73" t="n">
        <x:v>20</x:v>
      </x:c>
      <x:c r="N36" s="74" t="n">
        <x:v>1500000</x:v>
      </x:c>
      <x:c r="O36" s="28" t="str">
        <x:v>Informe ejecutivo</x:v>
      </x:c>
      <x:c r="P36" s="28" t="str"/>
      <x:c r="Q36" s="28" t="str"/>
      <x:c r="R36" s="28" t="str"/>
      <x:c r="S36" s="28" t="str"/>
      <x:c r="T36" s="28" t="str"/>
      <x:c r="U36" s="28" t="str"/>
      <x:c r="V36" s="28" t="str"/>
      <x:c r="W36" s="28" t="str"/>
      <x:c r="X36" s="28" t="str"/>
      <x:c r="Y36" s="28" t="str"/>
      <x:c r="Z36" s="28" t="str"/>
      <x:c r="AA36" s="28" t="str">
        <x:v>Ejecutado</x:v>
      </x:c>
      <x:c r="AB36" s="28" t="n">
        <x:f>SUMPRODUCT(--(P36:AA36&lt;&gt;""),--(P$5:AA$5&lt;=$D$2))</x:f>
        <x:v>1</x:v>
      </x:c>
      <x:c r="AC36" s="28" t="n">
        <x:f>SUMPRODUCT(--(P36:AA36="Ejecutado"),--(P$5:AA$5&lt;=$D$2))</x:f>
        <x:v>1</x:v>
      </x:c>
      <x:c r="AD36" s="75" t="n">
        <x:f>IF(AB36=0,0,AC36/AB36)</x:f>
        <x:v>1</x:v>
      </x:c>
      <x:c r="AE36" s="28" t="str">
        <x:f>IF(AD36=1,"Cumplida",IF(AD36&gt;=0.8,"Cumplida con ajustes",IF(AD36&gt;0,"En ejecución","Pendiente")))</x:f>
        <x:v>Cumplida</x:v>
      </x:c>
    </x:row>
    <x:row r="37" ht="20" customHeight="1">
      <x:c r="A37" s="28" t="str">
        <x:v>PAT-031</x:v>
      </x:c>
      <x:c r="B37" s="28" t="n">
        <x:v>2023</x:v>
      </x:c>
      <x:c r="C37" s="28" t="str">
        <x:v>Todas las sedes</x:v>
      </x:c>
      <x:c r="D37" s="28" t="str">
        <x:v>Actuar</x:v>
      </x:c>
      <x:c r="E37" s="28" t="str">
        <x:v>Mejora continua</x:v>
      </x:c>
      <x:c r="F37" s="28" t="str">
        <x:v>Plan de mejoramiento</x:v>
      </x:c>
      <x:c r="G37" s="28" t="str">
        <x:v>Actualizar y ejecutar el plan de mejoramiento del SG-SST</x:v>
      </x:c>
      <x:c r="H37" s="28" t="str">
        <x:v>Cerrar brechas identificadas</x:v>
      </x:c>
      <x:c r="I37" s="28" t="str">
        <x:v>12 seguimientos del plan</x:v>
      </x:c>
      <x:c r="J37" s="28" t="str">
        <x:v>% de acciones del plan ejecutadas</x:v>
      </x:c>
      <x:c r="K37" s="28" t="str">
        <x:v>Mensual</x:v>
      </x:c>
      <x:c r="L37" s="28" t="str">
        <x:v>SST / Líderes de proceso</x:v>
      </x:c>
      <x:c r="M37" s="73" t="n">
        <x:v>24</x:v>
      </x:c>
      <x:c r="N37" s="74" t="n">
        <x:v>2600000</x:v>
      </x:c>
      <x:c r="O37" s="28" t="str">
        <x:v>Matriz APCM</x:v>
      </x:c>
      <x:c r="P37" s="28" t="str">
        <x:v>Ejecutado</x:v>
      </x:c>
      <x:c r="Q37" s="28" t="str">
        <x:v>Ejecutado</x:v>
      </x:c>
      <x:c r="R37" s="28" t="str">
        <x:v>Ejecutado</x:v>
      </x:c>
      <x:c r="S37" s="28" t="str">
        <x:v>Ejecutado</x:v>
      </x:c>
      <x:c r="T37" s="28" t="str">
        <x:v>Ejecutado</x:v>
      </x:c>
      <x:c r="U37" s="28" t="str">
        <x:v>Ejecutado</x:v>
      </x:c>
      <x:c r="V37" s="28" t="str">
        <x:v>Ejecutado</x:v>
      </x:c>
      <x:c r="W37" s="28" t="str">
        <x:v>Ejecutado</x:v>
      </x:c>
      <x:c r="X37" s="28" t="str">
        <x:v>Reprogramado</x:v>
      </x:c>
      <x:c r="Y37" s="28" t="str">
        <x:v>Ejecutado</x:v>
      </x:c>
      <x:c r="Z37" s="28" t="str">
        <x:v>Ejecutado</x:v>
      </x:c>
      <x:c r="AA37" s="28" t="str">
        <x:v>Ejecutado</x:v>
      </x:c>
      <x:c r="AB37" s="28" t="n">
        <x:f>SUMPRODUCT(--(P37:AA37&lt;&gt;""),--(P$5:AA$5&lt;=$D$2))</x:f>
        <x:v>12</x:v>
      </x:c>
      <x:c r="AC37" s="28" t="n">
        <x:f>SUMPRODUCT(--(P37:AA37="Ejecutado"),--(P$5:AA$5&lt;=$D$2))</x:f>
        <x:v>11</x:v>
      </x:c>
      <x:c r="AD37" s="75" t="n">
        <x:f>IF(AB37=0,0,AC37/AB37)</x:f>
        <x:v>0.9166666666666666</x:v>
      </x:c>
      <x:c r="AE37" s="28" t="str">
        <x:f>IF(AD37=1,"Cumplida",IF(AD37&gt;=0.8,"Cumplida con ajustes",IF(AD37&gt;0,"En ejecución","Pendiente")))</x:f>
        <x:v>Cumplida con ajustes</x:v>
      </x:c>
    </x:row>
    <x:row r="38" ht="20" customHeight="1">
      <x:c r="A38" s="28" t="str">
        <x:v>PAT-032</x:v>
      </x:c>
      <x:c r="B38" s="28" t="n">
        <x:v>2023</x:v>
      </x:c>
      <x:c r="C38" s="28" t="str">
        <x:v>Todas las sedes</x:v>
      </x:c>
      <x:c r="D38" s="28" t="str">
        <x:v>Actuar</x:v>
      </x:c>
      <x:c r="E38" s="28" t="str">
        <x:v>Documentación</x:v>
      </x:c>
      <x:c r="F38" s="28" t="str">
        <x:v>Actualización documental</x:v>
      </x:c>
      <x:c r="G38" s="28" t="str">
        <x:v>Actualizar procedimientos, matrices y formatos derivados de auditorías, cambios o incidentes</x:v>
      </x:c>
      <x:c r="H38" s="28" t="str">
        <x:v>Mantener el sistema documentado y vigente</x:v>
      </x:c>
      <x:c r="I38" s="28" t="str">
        <x:v>2 ciclos de actualización documental</x:v>
      </x:c>
      <x:c r="J38" s="28" t="str">
        <x:v>% de documentos actualizados</x:v>
      </x:c>
      <x:c r="K38" s="28" t="str">
        <x:v>Semestral</x:v>
      </x:c>
      <x:c r="L38" s="28" t="str">
        <x:v>SST / Calidad</x:v>
      </x:c>
      <x:c r="M38" s="73" t="n">
        <x:v>18</x:v>
      </x:c>
      <x:c r="N38" s="74" t="n">
        <x:v>1300000</x:v>
      </x:c>
      <x:c r="O38" s="28" t="str">
        <x:v>Control documental</x:v>
      </x:c>
      <x:c r="P38" s="28" t="str"/>
      <x:c r="Q38" s="28" t="str"/>
      <x:c r="R38" s="28" t="str"/>
      <x:c r="S38" s="28" t="str"/>
      <x:c r="T38" s="28" t="str"/>
      <x:c r="U38" s="28" t="str">
        <x:v>Ejecutado</x:v>
      </x:c>
      <x:c r="V38" s="28" t="str"/>
      <x:c r="W38" s="28" t="str"/>
      <x:c r="X38" s="28" t="str"/>
      <x:c r="Y38" s="28" t="str"/>
      <x:c r="Z38" s="28" t="str"/>
      <x:c r="AA38" s="28" t="str">
        <x:v>Ejecutado</x:v>
      </x:c>
      <x:c r="AB38" s="28" t="n">
        <x:f>SUMPRODUCT(--(P38:AA38&lt;&gt;""),--(P$5:AA$5&lt;=$D$2))</x:f>
        <x:v>2</x:v>
      </x:c>
      <x:c r="AC38" s="28" t="n">
        <x:f>SUMPRODUCT(--(P38:AA38="Ejecutado"),--(P$5:AA$5&lt;=$D$2))</x:f>
        <x:v>2</x:v>
      </x:c>
      <x:c r="AD38" s="75" t="n">
        <x:f>IF(AB38=0,0,AC38/AB38)</x:f>
        <x:v>1</x:v>
      </x:c>
      <x:c r="AE38" s="28" t="str">
        <x:f>IF(AD38=1,"Cumplida",IF(AD38&gt;=0.8,"Cumplida con ajustes",IF(AD38&gt;0,"En ejecución","Pendiente")))</x:f>
        <x:v>Cumplida</x:v>
      </x:c>
    </x:row>
  </x:sheetData>
  <x:mergeCells>
    <x:mergeCell ref="A1:AE1"/>
  </x:mergeCells>
  <x:conditionalFormatting sqref="AD7:AD38">
    <x:cfRule type="colorScale" priority="1">
      <x:colorScale>
        <x:cfvo type="min"/>
        <x:cfvo type="percentile" val="50"/>
        <x:cfvo type="max"/>
        <x:color rgb="FDE2E1"/>
        <x:color rgb="FFF4CC"/>
        <x:color rgb="D9EAD3"/>
      </x:colorScale>
    </x:cfRule>
  </x:conditionalFormatting>
  <x:conditionalFormatting sqref="AE7:AE38">
    <x:cfRule type="expression" dxfId="0" priority="2">
      <x:formula>AE7="Cumplida"</x:formula>
    </x:cfRule>
    <x:cfRule type="expression" dxfId="1" priority="3">
      <x:formula>AE7="Cumplida con ajustes"</x:formula>
    </x:cfRule>
    <x:cfRule type="expression" dxfId="2" priority="4">
      <x:formula>AE7="En ejecución"</x:formula>
    </x:cfRule>
    <x:cfRule type="expression" dxfId="3" priority="5">
      <x:formula>AE7="Pendiente"</x:formula>
    </x:cfRule>
  </x:conditionalFormatting>
  <x:conditionalFormatting sqref="P7:AA38">
    <x:cfRule type="expression" dxfId="4" priority="6">
      <x:formula>P7="Ejecutado"</x:formula>
    </x:cfRule>
    <x:cfRule type="expression" dxfId="5" priority="7">
      <x:formula>P7="Planeado"</x:formula>
    </x:cfRule>
    <x:cfRule type="expression" dxfId="6" priority="8">
      <x:formula>P7="Reprogramado"</x:formula>
    </x:cfRule>
    <x:cfRule type="expression" dxfId="7" priority="9">
      <x:formula>P7="Cancelado"</x:formula>
    </x:cfRule>
  </x:conditionalFormatting>
  <x:dataValidations count="4">
    <x:dataValidation type="list" sqref="P7:AA38">
      <x:formula1>Catalogos!$A$4:$A$7</x:formula1>
    </x:dataValidation>
    <x:dataValidation type="list" sqref="D7:D38">
      <x:formula1>Catalogos!$C$4:$C$7</x:formula1>
    </x:dataValidation>
    <x:dataValidation type="list" sqref="K7:K38">
      <x:formula1>Catalogos!$E$4:$E$9</x:formula1>
    </x:dataValidation>
    <x:dataValidation type="list" sqref="C7:C38">
      <x:formula1>Catalogos!$G$4:$G$15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7600631ad54bc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8" hidden="0" customWidth="1"/>
    <x:col min="4" max="4" width="12" hidden="0" customWidth="1"/>
    <x:col min="5" max="5" width="18" hidden="0" customWidth="1"/>
    <x:col min="6" max="6" width="18" hidden="0" customWidth="1"/>
    <x:col min="7" max="7" width="28" hidden="0" customWidth="1"/>
    <x:col min="8" max="8" width="30" hidden="0" customWidth="1"/>
    <x:col min="9" max="9" width="22" hidden="0" customWidth="1"/>
    <x:col min="10" max="10" width="22" hidden="0" customWidth="1"/>
    <x:col min="11" max="11" width="11" hidden="0" customWidth="1"/>
    <x:col min="12" max="12" width="20" hidden="0" customWidth="1"/>
    <x:col min="13" max="13" width="13" hidden="0" customWidth="1"/>
    <x:col min="14" max="14" width="16" hidden="0" customWidth="1"/>
    <x:col min="15" max="15" width="22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4" hidden="0" customWidth="1"/>
    <x:col min="29" max="29" width="14" hidden="0" customWidth="1"/>
    <x:col min="30" max="30" width="14" hidden="0" customWidth="1"/>
    <x:col min="31" max="31" width="18" hidden="0" customWidth="1"/>
  </x:cols>
  <x:sheetData>
    <x:row r="1" ht="24" customHeight="1">
      <x:c r="A1" s="5" t="str">
        <x:v>Plan Anual de Trabajo SG-SST (PHVA) – 2024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</x:row>
    <x:row r="2">
      <x:c r="A2" s="49" t="str">
        <x:v>Año</x:v>
      </x:c>
      <x:c r="B2" s="28" t="n">
        <x:v>2024</x:v>
      </x:c>
      <x:c r="C2" s="49" t="str">
        <x:v>Mes de corte</x:v>
      </x:c>
      <x:c r="D2" s="28" t="n">
        <x:v>12</x:v>
      </x:c>
      <x:c r="E2" s="49" t="str">
        <x:v>Marco</x:v>
      </x:c>
      <x:c r="F2" s="28" t="str">
        <x:v>Decreto 1072 de 2015 + Resolución 0312 de 2019</x:v>
      </x:c>
    </x:row>
    <x:row r="3">
      <x:c r="A3" s="49" t="str">
        <x:v>Propósito</x:v>
      </x:c>
      <x:c r="B3" s="28" t="str">
        <x:v>Programar, ejecutar y controlar el SG-SST por ciclo PHVA.</x:v>
      </x:c>
      <x:c r="C3" s="49" t="str">
        <x:v>Alcance</x:v>
      </x:c>
      <x:c r="D3" s="28" t="str">
        <x:v>Metas, responsables, recursos y cronograma mensual.</x:v>
      </x:c>
      <x:c r="E3" s="49" t="str">
        <x:v>Criterio</x:v>
      </x:c>
      <x:c r="F3" s="28" t="str">
        <x:v>% cumplimiento a corte = ejecutadas / programadas a corte</x:v>
      </x:c>
    </x:row>
    <x:row r="5">
      <x:c r="P5" s="57" t="n">
        <x:v>1</x:v>
      </x:c>
      <x:c r="Q5" s="57" t="n">
        <x:v>2</x:v>
      </x:c>
      <x:c r="R5" s="57" t="n">
        <x:v>3</x:v>
      </x:c>
      <x:c r="S5" s="57" t="n">
        <x:v>4</x:v>
      </x:c>
      <x:c r="T5" s="57" t="n">
        <x:v>5</x:v>
      </x:c>
      <x:c r="U5" s="57" t="n">
        <x:v>6</x:v>
      </x:c>
      <x:c r="V5" s="57" t="n">
        <x:v>7</x:v>
      </x:c>
      <x:c r="W5" s="57" t="n">
        <x:v>8</x:v>
      </x:c>
      <x:c r="X5" s="57" t="n">
        <x:v>9</x:v>
      </x:c>
      <x:c r="Y5" s="57" t="n">
        <x:v>10</x:v>
      </x:c>
      <x:c r="Z5" s="57" t="n">
        <x:v>11</x:v>
      </x:c>
      <x:c r="AA5" s="57" t="n">
        <x:v>12</x:v>
      </x:c>
    </x:row>
    <x:row r="6" ht="36" customHeight="1">
      <x:c r="A6" s="62" t="str">
        <x:v>Código</x:v>
      </x:c>
      <x:c r="B6" s="62" t="str">
        <x:v>Año</x:v>
      </x:c>
      <x:c r="C6" s="62" t="str">
        <x:v>Sede/Cobertura</x:v>
      </x:c>
      <x:c r="D6" s="62" t="str">
        <x:v>Ciclo PHVA</x:v>
      </x:c>
      <x:c r="E6" s="62" t="str">
        <x:v>Componente SG-SST</x:v>
      </x:c>
      <x:c r="F6" s="62" t="str">
        <x:v>Estándar / Requisito</x:v>
      </x:c>
      <x:c r="G6" s="62" t="str">
        <x:v>Actividad</x:v>
      </x:c>
      <x:c r="H6" s="62" t="str">
        <x:v>Objetivo</x:v>
      </x:c>
      <x:c r="I6" s="62" t="str">
        <x:v>Meta</x:v>
      </x:c>
      <x:c r="J6" s="62" t="str">
        <x:v>Indicador</x:v>
      </x:c>
      <x:c r="K6" s="62" t="str">
        <x:v>Frecuencia</x:v>
      </x:c>
      <x:c r="L6" s="62" t="str">
        <x:v>Responsable</x:v>
      </x:c>
      <x:c r="M6" s="62" t="str">
        <x:v>Rec. humanos (HH)</x:v>
      </x:c>
      <x:c r="N6" s="62" t="str">
        <x:v>Rec. financieros estimados (COP)</x:v>
      </x:c>
      <x:c r="O6" s="62" t="str">
        <x:v>Rec. tecnológicos</x:v>
      </x:c>
      <x:c r="P6" s="62" t="str">
        <x:v>Ene</x:v>
      </x:c>
      <x:c r="Q6" s="62" t="str">
        <x:v>Feb</x:v>
      </x:c>
      <x:c r="R6" s="62" t="str">
        <x:v>Mar</x:v>
      </x:c>
      <x:c r="S6" s="62" t="str">
        <x:v>Abr</x:v>
      </x:c>
      <x:c r="T6" s="62" t="str">
        <x:v>May</x:v>
      </x:c>
      <x:c r="U6" s="62" t="str">
        <x:v>Jun</x:v>
      </x:c>
      <x:c r="V6" s="62" t="str">
        <x:v>Jul</x:v>
      </x:c>
      <x:c r="W6" s="62" t="str">
        <x:v>Ago</x:v>
      </x:c>
      <x:c r="X6" s="62" t="str">
        <x:v>Sep</x:v>
      </x:c>
      <x:c r="Y6" s="62" t="str">
        <x:v>Oct</x:v>
      </x:c>
      <x:c r="Z6" s="62" t="str">
        <x:v>Nov</x:v>
      </x:c>
      <x:c r="AA6" s="62" t="str">
        <x:v>Dic</x:v>
      </x:c>
      <x:c r="AB6" s="62" t="str">
        <x:v>Programadas a corte</x:v>
      </x:c>
      <x:c r="AC6" s="62" t="str">
        <x:v>Ejecutadas a corte</x:v>
      </x:c>
      <x:c r="AD6" s="62" t="str">
        <x:v>% Cumplimiento a corte</x:v>
      </x:c>
      <x:c r="AE6" s="62" t="str">
        <x:v>Estado general</x:v>
      </x:c>
    </x:row>
    <x:row r="7" ht="20" customHeight="1">
      <x:c r="A7" s="28" t="str">
        <x:v>PAT-001</x:v>
      </x:c>
      <x:c r="B7" s="28" t="n">
        <x:v>2024</x:v>
      </x:c>
      <x:c r="C7" s="28" t="str">
        <x:v>Todas las sedes</x:v>
      </x:c>
      <x:c r="D7" s="28" t="str">
        <x:v>Planear</x:v>
      </x:c>
      <x:c r="E7" s="28" t="str">
        <x:v>Política SST</x:v>
      </x:c>
      <x:c r="F7" s="28" t="str">
        <x:v>Política y compromiso</x:v>
      </x:c>
      <x:c r="G7" s="28" t="str">
        <x:v>Revisar y actualizar la política de SST</x:v>
      </x:c>
      <x:c r="H7" s="28" t="str">
        <x:v>Mantener vigente la política y comunicarla a toda la organización</x:v>
      </x:c>
      <x:c r="I7" s="28" t="str">
        <x:v>1 política revisada y divulgada</x:v>
      </x:c>
      <x:c r="J7" s="28" t="str">
        <x:v>Política actualizada y evidencias de divulgación</x:v>
      </x:c>
      <x:c r="K7" s="28" t="str">
        <x:v>Anual</x:v>
      </x:c>
      <x:c r="L7" s="28" t="str">
        <x:v>Gerencia / Líder SST</x:v>
      </x:c>
      <x:c r="M7" s="73" t="n">
        <x:v>16</x:v>
      </x:c>
      <x:c r="N7" s="74" t="n">
        <x:v>1311400</x:v>
      </x:c>
      <x:c r="O7" s="28" t="str">
        <x:v>Google Drive, correo, cartelera</x:v>
      </x:c>
      <x:c r="P7" s="28" t="str">
        <x:v>Ejecutado</x:v>
      </x:c>
      <x:c r="Q7" s="28" t="str"/>
      <x:c r="R7" s="28" t="str"/>
      <x:c r="S7" s="28" t="str"/>
      <x:c r="T7" s="28" t="str"/>
      <x:c r="U7" s="28" t="str"/>
      <x:c r="V7" s="28" t="str"/>
      <x:c r="W7" s="28" t="str"/>
      <x:c r="X7" s="28" t="str"/>
      <x:c r="Y7" s="28" t="str"/>
      <x:c r="Z7" s="28" t="str"/>
      <x:c r="AA7" s="28" t="str"/>
      <x:c r="AB7" s="28" t="n">
        <x:f>SUMPRODUCT(--(P7:AA7&lt;&gt;""),--(P$5:AA$5&lt;=$D$2))</x:f>
        <x:v>1</x:v>
      </x:c>
      <x:c r="AC7" s="28" t="n">
        <x:f>SUMPRODUCT(--(P7:AA7="Ejecutado"),--(P$5:AA$5&lt;=$D$2))</x:f>
        <x:v>1</x:v>
      </x:c>
      <x:c r="AD7" s="75" t="n">
        <x:f>IF(AB7=0,0,AC7/AB7)</x:f>
        <x:v>1</x:v>
      </x:c>
      <x:c r="AE7" s="28" t="str">
        <x:f>IF(AD7=1,"Cumplida",IF(AD7&gt;=0.8,"Cumplida con ajustes",IF(AD7&gt;0,"En ejecución","Pendiente")))</x:f>
        <x:v>Cumplida</x:v>
      </x:c>
    </x:row>
    <x:row r="8" ht="20" customHeight="1">
      <x:c r="A8" s="28" t="str">
        <x:v>PAT-002</x:v>
      </x:c>
      <x:c r="B8" s="28" t="n">
        <x:v>2024</x:v>
      </x:c>
      <x:c r="C8" s="28" t="str">
        <x:v>Todas las sedes</x:v>
      </x:c>
      <x:c r="D8" s="28" t="str">
        <x:v>Planear</x:v>
      </x:c>
      <x:c r="E8" s="28" t="str">
        <x:v>Objetivos e indicadores</x:v>
      </x:c>
      <x:c r="F8" s="28" t="str">
        <x:v>Objetivos y metas</x:v>
      </x:c>
      <x:c r="G8" s="28" t="str">
        <x:v>Definir objetivos, metas e indicadores anuales del SG-SST</x:v>
      </x:c>
      <x:c r="H8" s="28" t="str">
        <x:v>Alinear la gestión SST con metas medibles</x:v>
      </x:c>
      <x:c r="I8" s="28" t="str">
        <x:v>1 matriz de objetivos e indicadores aprobada</x:v>
      </x:c>
      <x:c r="J8" s="28" t="str">
        <x:v>Matriz de objetivos e indicadores aprobada</x:v>
      </x:c>
      <x:c r="K8" s="28" t="str">
        <x:v>Anual</x:v>
      </x:c>
      <x:c r="L8" s="28" t="str">
        <x:v>Gerencia / Líder SST</x:v>
      </x:c>
      <x:c r="M8" s="73" t="n">
        <x:v>20</x:v>
      </x:c>
      <x:c r="N8" s="74" t="n">
        <x:v>1639200</x:v>
      </x:c>
      <x:c r="O8" s="28" t="str">
        <x:v>Excel / Sheets</x:v>
      </x:c>
      <x:c r="P8" s="28" t="str">
        <x:v>Ejecutado</x:v>
      </x:c>
      <x:c r="Q8" s="28" t="str"/>
      <x:c r="R8" s="28" t="str"/>
      <x:c r="S8" s="28" t="str"/>
      <x:c r="T8" s="28" t="str"/>
      <x:c r="U8" s="28" t="str"/>
      <x:c r="V8" s="28" t="str"/>
      <x:c r="W8" s="28" t="str"/>
      <x:c r="X8" s="28" t="str"/>
      <x:c r="Y8" s="28" t="str"/>
      <x:c r="Z8" s="28" t="str"/>
      <x:c r="AA8" s="28" t="str"/>
      <x:c r="AB8" s="28" t="n">
        <x:f>SUMPRODUCT(--(P8:AA8&lt;&gt;""),--(P$5:AA$5&lt;=$D$2))</x:f>
        <x:v>1</x:v>
      </x:c>
      <x:c r="AC8" s="28" t="n">
        <x:f>SUMPRODUCT(--(P8:AA8="Ejecutado"),--(P$5:AA$5&lt;=$D$2))</x:f>
        <x:v>1</x:v>
      </x:c>
      <x:c r="AD8" s="75" t="n">
        <x:f>IF(AB8=0,0,AC8/AB8)</x:f>
        <x:v>1</x:v>
      </x:c>
      <x:c r="AE8" s="28" t="str">
        <x:f>IF(AD8=1,"Cumplida",IF(AD8&gt;=0.8,"Cumplida con ajustes",IF(AD8&gt;0,"En ejecución","Pendiente")))</x:f>
        <x:v>Cumplida</x:v>
      </x:c>
    </x:row>
    <x:row r="9" ht="20" customHeight="1">
      <x:c r="A9" s="28" t="str">
        <x:v>PAT-003</x:v>
      </x:c>
      <x:c r="B9" s="28" t="n">
        <x:v>2024</x:v>
      </x:c>
      <x:c r="C9" s="28" t="str">
        <x:v>Todas las sedes</x:v>
      </x:c>
      <x:c r="D9" s="28" t="str">
        <x:v>Planear</x:v>
      </x:c>
      <x:c r="E9" s="28" t="str">
        <x:v>Recursos</x:v>
      </x:c>
      <x:c r="F9" s="28" t="str">
        <x:v>Asignación de recursos</x:v>
      </x:c>
      <x:c r="G9" s="28" t="str">
        <x:v>Aprobar y socializar la asignación de recursos del SG-SST</x:v>
      </x:c>
      <x:c r="H9" s="28" t="str">
        <x:v>Garantizar recursos humanos, físicos, tecnológicos y financieros</x:v>
      </x:c>
      <x:c r="I9" s="28" t="str">
        <x:v>1 presupuesto SST aprobado</x:v>
      </x:c>
      <x:c r="J9" s="28" t="str">
        <x:v>Presupuesto SST aprobado y comunicado</x:v>
      </x:c>
      <x:c r="K9" s="28" t="str">
        <x:v>Anual</x:v>
      </x:c>
      <x:c r="L9" s="28" t="str">
        <x:v>Gerencia / Financiera / Líder SST</x:v>
      </x:c>
      <x:c r="M9" s="73" t="n">
        <x:v>12</x:v>
      </x:c>
      <x:c r="N9" s="74" t="n">
        <x:v>874200</x:v>
      </x:c>
      <x:c r="O9" s="28" t="str">
        <x:v>Presupuesto SST</x:v>
      </x:c>
      <x:c r="P9" s="28" t="str">
        <x:v>Ejecutado</x:v>
      </x:c>
      <x:c r="Q9" s="28" t="str"/>
      <x:c r="R9" s="28" t="str"/>
      <x:c r="S9" s="28" t="str"/>
      <x:c r="T9" s="28" t="str"/>
      <x:c r="U9" s="28" t="str"/>
      <x:c r="V9" s="28" t="str"/>
      <x:c r="W9" s="28" t="str"/>
      <x:c r="X9" s="28" t="str"/>
      <x:c r="Y9" s="28" t="str"/>
      <x:c r="Z9" s="28" t="str"/>
      <x:c r="AA9" s="28" t="str"/>
      <x:c r="AB9" s="28" t="n">
        <x:f>SUMPRODUCT(--(P9:AA9&lt;&gt;""),--(P$5:AA$5&lt;=$D$2))</x:f>
        <x:v>1</x:v>
      </x:c>
      <x:c r="AC9" s="28" t="n">
        <x:f>SUMPRODUCT(--(P9:AA9="Ejecutado"),--(P$5:AA$5&lt;=$D$2))</x:f>
        <x:v>1</x:v>
      </x:c>
      <x:c r="AD9" s="75" t="n">
        <x:f>IF(AB9=0,0,AC9/AB9)</x:f>
        <x:v>1</x:v>
      </x:c>
      <x:c r="AE9" s="28" t="str">
        <x:f>IF(AD9=1,"Cumplida",IF(AD9&gt;=0.8,"Cumplida con ajustes",IF(AD9&gt;0,"En ejecución","Pendiente")))</x:f>
        <x:v>Cumplida</x:v>
      </x:c>
    </x:row>
    <x:row r="10" ht="20" customHeight="1">
      <x:c r="A10" s="28" t="str">
        <x:v>PAT-004</x:v>
      </x:c>
      <x:c r="B10" s="28" t="n">
        <x:v>2024</x:v>
      </x:c>
      <x:c r="C10" s="28" t="str">
        <x:v>Todas las sedes</x:v>
      </x:c>
      <x:c r="D10" s="28" t="str">
        <x:v>Planear</x:v>
      </x:c>
      <x:c r="E10" s="28" t="str">
        <x:v>Evaluación inicial</x:v>
      </x:c>
      <x:c r="F10" s="28" t="str">
        <x:v>Autoevaluación de estándares</x:v>
      </x:c>
      <x:c r="G10" s="28" t="str">
        <x:v>Aplicar autodiagnóstico de estándares mínimos de la Resolución 0312 de 2019</x:v>
      </x:c>
      <x:c r="H10" s="28" t="str">
        <x:v>Establecer la línea base anual del SG-SST</x:v>
      </x:c>
      <x:c r="I10" s="28" t="str">
        <x:v>1 autodiagnóstico aplicado</x:v>
      </x:c>
      <x:c r="J10" s="28" t="str">
        <x:v>Puntaje de estándares mínimos evaluado</x:v>
      </x:c>
      <x:c r="K10" s="28" t="str">
        <x:v>Anual</x:v>
      </x:c>
      <x:c r="L10" s="28" t="str">
        <x:v>Líder SST</x:v>
      </x:c>
      <x:c r="M10" s="73" t="n">
        <x:v>24</x:v>
      </x:c>
      <x:c r="N10" s="74" t="n">
        <x:v>1967000</x:v>
      </x:c>
      <x:c r="O10" s="28" t="str">
        <x:v>Formato autodiagnóstico</x:v>
      </x:c>
      <x:c r="P10" s="28" t="str"/>
      <x:c r="Q10" s="28" t="str">
        <x:v>Ejecutado</x:v>
      </x:c>
      <x:c r="R10" s="28" t="str"/>
      <x:c r="S10" s="28" t="str"/>
      <x:c r="T10" s="28" t="str"/>
      <x:c r="U10" s="28" t="str"/>
      <x:c r="V10" s="28" t="str"/>
      <x:c r="W10" s="28" t="str"/>
      <x:c r="X10" s="28" t="str"/>
      <x:c r="Y10" s="28" t="str"/>
      <x:c r="Z10" s="28" t="str"/>
      <x:c r="AA10" s="28" t="str"/>
      <x:c r="AB10" s="28" t="n">
        <x:f>SUMPRODUCT(--(P10:AA10&lt;&gt;""),--(P$5:AA$5&lt;=$D$2))</x:f>
        <x:v>1</x:v>
      </x:c>
      <x:c r="AC10" s="28" t="n">
        <x:f>SUMPRODUCT(--(P10:AA10="Ejecutado"),--(P$5:AA$5&lt;=$D$2))</x:f>
        <x:v>1</x:v>
      </x:c>
      <x:c r="AD10" s="75" t="n">
        <x:f>IF(AB10=0,0,AC10/AB10)</x:f>
        <x:v>1</x:v>
      </x:c>
      <x:c r="AE10" s="28" t="str">
        <x:f>IF(AD10=1,"Cumplida",IF(AD10&gt;=0.8,"Cumplida con ajustes",IF(AD10&gt;0,"En ejecución","Pendiente")))</x:f>
        <x:v>Cumplida</x:v>
      </x:c>
    </x:row>
    <x:row r="11" ht="20" customHeight="1">
      <x:c r="A11" s="28" t="str">
        <x:v>PAT-005</x:v>
      </x:c>
      <x:c r="B11" s="28" t="n">
        <x:v>2024</x:v>
      </x:c>
      <x:c r="C11" s="28" t="str">
        <x:v>Todas las sedes</x:v>
      </x:c>
      <x:c r="D11" s="28" t="str">
        <x:v>Planear</x:v>
      </x:c>
      <x:c r="E11" s="28" t="str">
        <x:v>Planificación anual</x:v>
      </x:c>
      <x:c r="F11" s="28" t="str">
        <x:v>Plan anual de trabajo</x:v>
      </x:c>
      <x:c r="G11" s="28" t="str">
        <x:v>Diseñar, aprobar y publicar el plan anual de trabajo del SG-SST</x:v>
      </x:c>
      <x:c r="H11" s="28" t="str">
        <x:v>Planificar actividades, metas, cronograma y responsables</x:v>
      </x:c>
      <x:c r="I11" s="28" t="str">
        <x:v>1 plan anual aprobado</x:v>
      </x:c>
      <x:c r="J11" s="28" t="str">
        <x:v>Plan anual aprobado y publicado</x:v>
      </x:c>
      <x:c r="K11" s="28" t="str">
        <x:v>Anual</x:v>
      </x:c>
      <x:c r="L11" s="28" t="str">
        <x:v>Líder SST / Gerencia</x:v>
      </x:c>
      <x:c r="M11" s="73" t="n">
        <x:v>18</x:v>
      </x:c>
      <x:c r="N11" s="74" t="n">
        <x:v>1092800</x:v>
      </x:c>
      <x:c r="O11" s="28" t="str">
        <x:v>Sheets / cronograma</x:v>
      </x:c>
      <x:c r="P11" s="28" t="str">
        <x:v>Ejecutado</x:v>
      </x:c>
      <x:c r="Q11" s="28" t="str"/>
      <x:c r="R11" s="28" t="str"/>
      <x:c r="S11" s="28" t="str"/>
      <x:c r="T11" s="28" t="str"/>
      <x:c r="U11" s="28" t="str"/>
      <x:c r="V11" s="28" t="str"/>
      <x:c r="W11" s="28" t="str"/>
      <x:c r="X11" s="28" t="str"/>
      <x:c r="Y11" s="28" t="str"/>
      <x:c r="Z11" s="28" t="str"/>
      <x:c r="AA11" s="28" t="str"/>
      <x:c r="AB11" s="28" t="n">
        <x:f>SUMPRODUCT(--(P11:AA11&lt;&gt;""),--(P$5:AA$5&lt;=$D$2))</x:f>
        <x:v>1</x:v>
      </x:c>
      <x:c r="AC11" s="28" t="n">
        <x:f>SUMPRODUCT(--(P11:AA11="Ejecutado"),--(P$5:AA$5&lt;=$D$2))</x:f>
        <x:v>1</x:v>
      </x:c>
      <x:c r="AD11" s="75" t="n">
        <x:f>IF(AB11=0,0,AC11/AB11)</x:f>
        <x:v>1</x:v>
      </x:c>
      <x:c r="AE11" s="28" t="str">
        <x:f>IF(AD11=1,"Cumplida",IF(AD11&gt;=0.8,"Cumplida con ajustes",IF(AD11&gt;0,"En ejecución","Pendiente")))</x:f>
        <x:v>Cumplida</x:v>
      </x:c>
    </x:row>
    <x:row r="12" ht="20" customHeight="1">
      <x:c r="A12" s="28" t="str">
        <x:v>PAT-006</x:v>
      </x:c>
      <x:c r="B12" s="28" t="n">
        <x:v>2024</x:v>
      </x:c>
      <x:c r="C12" s="28" t="str">
        <x:v>Todas las sedes</x:v>
      </x:c>
      <x:c r="D12" s="28" t="str">
        <x:v>Planear</x:v>
      </x:c>
      <x:c r="E12" s="28" t="str">
        <x:v>Requisitos legales</x:v>
      </x:c>
      <x:c r="F12" s="28" t="str">
        <x:v>Matriz legal</x:v>
      </x:c>
      <x:c r="G12" s="28" t="str">
        <x:v>Actualizar la matriz legal aplicable en SST</x:v>
      </x:c>
      <x:c r="H12" s="28" t="str">
        <x:v>Mantener identificados y evaluados los requisitos legales</x:v>
      </x:c>
      <x:c r="I12" s="28" t="str">
        <x:v>2 actualizaciones anuales</x:v>
      </x:c>
      <x:c r="J12" s="28" t="str">
        <x:v>% de requisitos legales actualizados</x:v>
      </x:c>
      <x:c r="K12" s="28" t="str">
        <x:v>Semestral</x:v>
      </x:c>
      <x:c r="L12" s="28" t="str">
        <x:v>Líder SST / Jurídica</x:v>
      </x:c>
      <x:c r="M12" s="73" t="n">
        <x:v>20</x:v>
      </x:c>
      <x:c r="N12" s="74" t="n">
        <x:v>2185600</x:v>
      </x:c>
      <x:c r="O12" s="28" t="str">
        <x:v>Matriz legal</x:v>
      </x:c>
      <x:c r="P12" s="28" t="str"/>
      <x:c r="Q12" s="28" t="str"/>
      <x:c r="R12" s="28" t="str">
        <x:v>Ejecutado</x:v>
      </x:c>
      <x:c r="S12" s="28" t="str"/>
      <x:c r="T12" s="28" t="str"/>
      <x:c r="U12" s="28" t="str"/>
      <x:c r="V12" s="28" t="str"/>
      <x:c r="W12" s="28" t="str"/>
      <x:c r="X12" s="28" t="str">
        <x:v>Ejecutado</x:v>
      </x:c>
      <x:c r="Y12" s="28" t="str"/>
      <x:c r="Z12" s="28" t="str"/>
      <x:c r="AA12" s="28" t="str"/>
      <x:c r="AB12" s="28" t="n">
        <x:f>SUMPRODUCT(--(P12:AA12&lt;&gt;""),--(P$5:AA$5&lt;=$D$2))</x:f>
        <x:v>2</x:v>
      </x:c>
      <x:c r="AC12" s="28" t="n">
        <x:f>SUMPRODUCT(--(P12:AA12="Ejecutado"),--(P$5:AA$5&lt;=$D$2))</x:f>
        <x:v>2</x:v>
      </x:c>
      <x:c r="AD12" s="75" t="n">
        <x:f>IF(AB12=0,0,AC12/AB12)</x:f>
        <x:v>1</x:v>
      </x:c>
      <x:c r="AE12" s="28" t="str">
        <x:f>IF(AD12=1,"Cumplida",IF(AD12&gt;=0.8,"Cumplida con ajustes",IF(AD12&gt;0,"En ejecución","Pendiente")))</x:f>
        <x:v>Cumplida</x:v>
      </x:c>
    </x:row>
    <x:row r="13" ht="20" customHeight="1">
      <x:c r="A13" s="28" t="str">
        <x:v>PAT-007</x:v>
      </x:c>
      <x:c r="B13" s="28" t="n">
        <x:v>2024</x:v>
      </x:c>
      <x:c r="C13" s="28" t="str">
        <x:v>Todas las sedes</x:v>
      </x:c>
      <x:c r="D13" s="28" t="str">
        <x:v>Planear</x:v>
      </x:c>
      <x:c r="E13" s="28" t="str">
        <x:v>Capacitación</x:v>
      </x:c>
      <x:c r="F13" s="28" t="str">
        <x:v>Plan de formación</x:v>
      </x:c>
      <x:c r="G13" s="28" t="str">
        <x:v>Definir y aprobar el plan anual de formación y capacitaciones en SST</x:v>
      </x:c>
      <x:c r="H13" s="28" t="str">
        <x:v>Garantizar competencias del personal</x:v>
      </x:c>
      <x:c r="I13" s="28" t="str">
        <x:v>1 plan de formación aprobado</x:v>
      </x:c>
      <x:c r="J13" s="28" t="str">
        <x:v>Plan anual de formación aprobado</x:v>
      </x:c>
      <x:c r="K13" s="28" t="str">
        <x:v>Anual</x:v>
      </x:c>
      <x:c r="L13" s="28" t="str">
        <x:v>Líder SST / Talento Humano</x:v>
      </x:c>
      <x:c r="M13" s="73" t="n">
        <x:v>12</x:v>
      </x:c>
      <x:c r="N13" s="74" t="n">
        <x:v>983500</x:v>
      </x:c>
      <x:c r="O13" s="28" t="str">
        <x:v>Plan de formación</x:v>
      </x:c>
      <x:c r="P13" s="28" t="str">
        <x:v>Ejecutado</x:v>
      </x:c>
      <x:c r="Q13" s="28" t="str"/>
      <x:c r="R13" s="28" t="str"/>
      <x:c r="S13" s="28" t="str"/>
      <x:c r="T13" s="28" t="str"/>
      <x:c r="U13" s="28" t="str"/>
      <x:c r="V13" s="28" t="str"/>
      <x:c r="W13" s="28" t="str"/>
      <x:c r="X13" s="28" t="str"/>
      <x:c r="Y13" s="28" t="str"/>
      <x:c r="Z13" s="28" t="str"/>
      <x:c r="AA13" s="28" t="str"/>
      <x:c r="AB13" s="28" t="n">
        <x:f>SUMPRODUCT(--(P13:AA13&lt;&gt;""),--(P$5:AA$5&lt;=$D$2))</x:f>
        <x:v>1</x:v>
      </x:c>
      <x:c r="AC13" s="28" t="n">
        <x:f>SUMPRODUCT(--(P13:AA13="Ejecutado"),--(P$5:AA$5&lt;=$D$2))</x:f>
        <x:v>1</x:v>
      </x:c>
      <x:c r="AD13" s="75" t="n">
        <x:f>IF(AB13=0,0,AC13/AB13)</x:f>
        <x:v>1</x:v>
      </x:c>
      <x:c r="AE13" s="28" t="str">
        <x:f>IF(AD13=1,"Cumplida",IF(AD13&gt;=0.8,"Cumplida con ajustes",IF(AD13&gt;0,"En ejecución","Pendiente")))</x:f>
        <x:v>Cumplida</x:v>
      </x:c>
    </x:row>
    <x:row r="14" ht="20" customHeight="1">
      <x:c r="A14" s="28" t="str">
        <x:v>PAT-008</x:v>
      </x:c>
      <x:c r="B14" s="28" t="n">
        <x:v>2024</x:v>
      </x:c>
      <x:c r="C14" s="28" t="str">
        <x:v>Todas las sedes</x:v>
      </x:c>
      <x:c r="D14" s="28" t="str">
        <x:v>Planear</x:v>
      </x:c>
      <x:c r="E14" s="28" t="str">
        <x:v>Participación</x:v>
      </x:c>
      <x:c r="F14" s="28" t="str">
        <x:v>COPASST y CCL</x:v>
      </x:c>
      <x:c r="G14" s="28" t="str">
        <x:v>Establecer cronograma anual de reuniones de COPASST y Comité de Convivencia Laboral</x:v>
      </x:c>
      <x:c r="H14" s="28" t="str">
        <x:v>Asegurar la participación de los comités</x:v>
      </x:c>
      <x:c r="I14" s="28" t="str">
        <x:v>12 reuniones programadas por comité</x:v>
      </x:c>
      <x:c r="J14" s="28" t="str">
        <x:v>Cronograma de comités aprobado</x:v>
      </x:c>
      <x:c r="K14" s="28" t="str">
        <x:v>Anual</x:v>
      </x:c>
      <x:c r="L14" s="28" t="str">
        <x:v>Líder SST / Talento Humano</x:v>
      </x:c>
      <x:c r="M14" s="73" t="n">
        <x:v>10</x:v>
      </x:c>
      <x:c r="N14" s="74" t="n">
        <x:v>546400</x:v>
      </x:c>
      <x:c r="O14" s="28" t="str">
        <x:v>Calendario institucional</x:v>
      </x:c>
      <x:c r="P14" s="28" t="str">
        <x:v>Ejecutado</x:v>
      </x:c>
      <x:c r="Q14" s="28" t="str"/>
      <x:c r="R14" s="28" t="str"/>
      <x:c r="S14" s="28" t="str"/>
      <x:c r="T14" s="28" t="str"/>
      <x:c r="U14" s="28" t="str"/>
      <x:c r="V14" s="28" t="str"/>
      <x:c r="W14" s="28" t="str"/>
      <x:c r="X14" s="28" t="str"/>
      <x:c r="Y14" s="28" t="str"/>
      <x:c r="Z14" s="28" t="str"/>
      <x:c r="AA14" s="28" t="str"/>
      <x:c r="AB14" s="28" t="n">
        <x:f>SUMPRODUCT(--(P14:AA14&lt;&gt;""),--(P$5:AA$5&lt;=$D$2))</x:f>
        <x:v>1</x:v>
      </x:c>
      <x:c r="AC14" s="28" t="n">
        <x:f>SUMPRODUCT(--(P14:AA14="Ejecutado"),--(P$5:AA$5&lt;=$D$2))</x:f>
        <x:v>1</x:v>
      </x:c>
      <x:c r="AD14" s="75" t="n">
        <x:f>IF(AB14=0,0,AC14/AB14)</x:f>
        <x:v>1</x:v>
      </x:c>
      <x:c r="AE14" s="28" t="str">
        <x:f>IF(AD14=1,"Cumplida",IF(AD14&gt;=0.8,"Cumplida con ajustes",IF(AD14&gt;0,"En ejecución","Pendiente")))</x:f>
        <x:v>Cumplida</x:v>
      </x:c>
    </x:row>
    <x:row r="15" ht="20" customHeight="1">
      <x:c r="A15" s="28" t="str">
        <x:v>PAT-009</x:v>
      </x:c>
      <x:c r="B15" s="28" t="n">
        <x:v>2024</x:v>
      </x:c>
      <x:c r="C15" s="28" t="str">
        <x:v>Todas las sedes</x:v>
      </x:c>
      <x:c r="D15" s="28" t="str">
        <x:v>Planear</x:v>
      </x:c>
      <x:c r="E15" s="28" t="str">
        <x:v>Emergencias</x:v>
      </x:c>
      <x:c r="F15" s="28" t="str">
        <x:v>Plan de emergencias</x:v>
      </x:c>
      <x:c r="G15" s="28" t="str">
        <x:v>Revisar y actualizar el plan de prevención, preparación y respuesta ante emergencias</x:v>
      </x:c>
      <x:c r="H15" s="28" t="str">
        <x:v>Asegurar respuesta efectiva ante emergencias</x:v>
      </x:c>
      <x:c r="I15" s="28" t="str">
        <x:v>1 plan de emergencias actualizado</x:v>
      </x:c>
      <x:c r="J15" s="28" t="str">
        <x:v>Plan actualizado y divulgado</x:v>
      </x:c>
      <x:c r="K15" s="28" t="str">
        <x:v>Anual</x:v>
      </x:c>
      <x:c r="L15" s="28" t="str">
        <x:v>Líder SST / Brigada</x:v>
      </x:c>
      <x:c r="M15" s="73" t="n">
        <x:v>24</x:v>
      </x:c>
      <x:c r="N15" s="74" t="n">
        <x:v>2732000</x:v>
      </x:c>
      <x:c r="O15" s="28" t="str">
        <x:v>Plan de emergencias</x:v>
      </x:c>
      <x:c r="P15" s="28" t="str"/>
      <x:c r="Q15" s="28" t="str">
        <x:v>Ejecutado</x:v>
      </x:c>
      <x:c r="R15" s="28" t="str"/>
      <x:c r="S15" s="28" t="str"/>
      <x:c r="T15" s="28" t="str"/>
      <x:c r="U15" s="28" t="str"/>
      <x:c r="V15" s="28" t="str"/>
      <x:c r="W15" s="28" t="str"/>
      <x:c r="X15" s="28" t="str"/>
      <x:c r="Y15" s="28" t="str"/>
      <x:c r="Z15" s="28" t="str"/>
      <x:c r="AA15" s="28" t="str"/>
      <x:c r="AB15" s="28" t="n">
        <x:f>SUMPRODUCT(--(P15:AA15&lt;&gt;""),--(P$5:AA$5&lt;=$D$2))</x:f>
        <x:v>1</x:v>
      </x:c>
      <x:c r="AC15" s="28" t="n">
        <x:f>SUMPRODUCT(--(P15:AA15="Ejecutado"),--(P$5:AA$5&lt;=$D$2))</x:f>
        <x:v>1</x:v>
      </x:c>
      <x:c r="AD15" s="75" t="n">
        <x:f>IF(AB15=0,0,AC15/AB15)</x:f>
        <x:v>1</x:v>
      </x:c>
      <x:c r="AE15" s="28" t="str">
        <x:f>IF(AD15=1,"Cumplida",IF(AD15&gt;=0.8,"Cumplida con ajustes",IF(AD15&gt;0,"En ejecución","Pendiente")))</x:f>
        <x:v>Cumplida</x:v>
      </x:c>
    </x:row>
    <x:row r="16" ht="20" customHeight="1">
      <x:c r="A16" s="28" t="str">
        <x:v>PAT-010</x:v>
      </x:c>
      <x:c r="B16" s="28" t="n">
        <x:v>2024</x:v>
      </x:c>
      <x:c r="C16" s="28" t="str">
        <x:v>Todas las sedes</x:v>
      </x:c>
      <x:c r="D16" s="28" t="str">
        <x:v>Planear</x:v>
      </x:c>
      <x:c r="E16" s="28" t="str">
        <x:v>Contratistas</x:v>
      </x:c>
      <x:c r="F16" s="28" t="str">
        <x:v>Gestión de contratistas</x:v>
      </x:c>
      <x:c r="G16" s="28" t="str">
        <x:v>Definir cronograma anual de verificación SST a contratistas y proveedores</x:v>
      </x:c>
      <x:c r="H16" s="28" t="str">
        <x:v>Controlar el cumplimiento SST de terceros</x:v>
      </x:c>
      <x:c r="I16" s="28" t="str">
        <x:v>4 ciclos de verificación programados</x:v>
      </x:c>
      <x:c r="J16" s="28" t="str">
        <x:v>Cronograma de evaluación aprobado</x:v>
      </x:c>
      <x:c r="K16" s="28" t="str">
        <x:v>Anual</x:v>
      </x:c>
      <x:c r="L16" s="28" t="str">
        <x:v>Líder SST / Compras</x:v>
      </x:c>
      <x:c r="M16" s="73" t="n">
        <x:v>10</x:v>
      </x:c>
      <x:c r="N16" s="74" t="n">
        <x:v>765000</x:v>
      </x:c>
      <x:c r="O16" s="28" t="str">
        <x:v>Matriz de proveedores</x:v>
      </x:c>
      <x:c r="P16" s="28" t="str"/>
      <x:c r="Q16" s="28" t="str">
        <x:v>Ejecutado</x:v>
      </x:c>
      <x:c r="R16" s="28" t="str"/>
      <x:c r="S16" s="28" t="str"/>
      <x:c r="T16" s="28" t="str"/>
      <x:c r="U16" s="28" t="str"/>
      <x:c r="V16" s="28" t="str"/>
      <x:c r="W16" s="28" t="str"/>
      <x:c r="X16" s="28" t="str"/>
      <x:c r="Y16" s="28" t="str"/>
      <x:c r="Z16" s="28" t="str"/>
      <x:c r="AA16" s="28" t="str"/>
      <x:c r="AB16" s="28" t="n">
        <x:f>SUMPRODUCT(--(P16:AA16&lt;&gt;""),--(P$5:AA$5&lt;=$D$2))</x:f>
        <x:v>1</x:v>
      </x:c>
      <x:c r="AC16" s="28" t="n">
        <x:f>SUMPRODUCT(--(P16:AA16="Ejecutado"),--(P$5:AA$5&lt;=$D$2))</x:f>
        <x:v>1</x:v>
      </x:c>
      <x:c r="AD16" s="75" t="n">
        <x:f>IF(AB16=0,0,AC16/AB16)</x:f>
        <x:v>1</x:v>
      </x:c>
      <x:c r="AE16" s="28" t="str">
        <x:f>IF(AD16=1,"Cumplida",IF(AD16&gt;=0.8,"Cumplida con ajustes",IF(AD16&gt;0,"En ejecución","Pendiente")))</x:f>
        <x:v>Cumplida</x:v>
      </x:c>
    </x:row>
    <x:row r="17" ht="20" customHeight="1">
      <x:c r="A17" s="28" t="str">
        <x:v>PAT-011</x:v>
      </x:c>
      <x:c r="B17" s="28" t="n">
        <x:v>2024</x:v>
      </x:c>
      <x:c r="C17" s="28" t="str">
        <x:v>Todas las sedes</x:v>
      </x:c>
      <x:c r="D17" s="28" t="str">
        <x:v>Hacer</x:v>
      </x:c>
      <x:c r="E17" s="28" t="str">
        <x:v>Capacitación</x:v>
      </x:c>
      <x:c r="F17" s="28" t="str">
        <x:v>Inducción y reinducción</x:v>
      </x:c>
      <x:c r="G17" s="28" t="str">
        <x:v>Ejecutar inducción y reinducción en SST al personal</x:v>
      </x:c>
      <x:c r="H17" s="28" t="str">
        <x:v>Fortalecer el conocimiento de peligros, controles y deberes</x:v>
      </x:c>
      <x:c r="I17" s="28" t="str">
        <x:v>12 jornadas ejecutadas</x:v>
      </x:c>
      <x:c r="J17" s="28" t="str">
        <x:v>% de personal capacitado</x:v>
      </x:c>
      <x:c r="K17" s="28" t="str">
        <x:v>Mensual</x:v>
      </x:c>
      <x:c r="L17" s="28" t="str">
        <x:v>Talento Humano / SST</x:v>
      </x:c>
      <x:c r="M17" s="73" t="n">
        <x:v>36</x:v>
      </x:c>
      <x:c r="N17" s="74" t="n">
        <x:v>3934100</x:v>
      </x:c>
      <x:c r="O17" s="28" t="str">
        <x:v>Forms / listas de asistencia</x:v>
      </x:c>
      <x:c r="P17" s="28" t="str">
        <x:v>Ejecutado</x:v>
      </x:c>
      <x:c r="Q17" s="28" t="str">
        <x:v>Ejecutado</x:v>
      </x:c>
      <x:c r="R17" s="28" t="str">
        <x:v>Ejecutado</x:v>
      </x:c>
      <x:c r="S17" s="28" t="str">
        <x:v>Ejecutado</x:v>
      </x:c>
      <x:c r="T17" s="28" t="str">
        <x:v>Ejecutado</x:v>
      </x:c>
      <x:c r="U17" s="28" t="str">
        <x:v>Ejecutado</x:v>
      </x:c>
      <x:c r="V17" s="28" t="str">
        <x:v>Ejecutado</x:v>
      </x:c>
      <x:c r="W17" s="28" t="str">
        <x:v>Ejecutado</x:v>
      </x:c>
      <x:c r="X17" s="28" t="str">
        <x:v>Ejecutado</x:v>
      </x:c>
      <x:c r="Y17" s="28" t="str">
        <x:v>Ejecutado</x:v>
      </x:c>
      <x:c r="Z17" s="28" t="str">
        <x:v>Ejecutado</x:v>
      </x:c>
      <x:c r="AA17" s="28" t="str">
        <x:v>Ejecutado</x:v>
      </x:c>
      <x:c r="AB17" s="28" t="n">
        <x:f>SUMPRODUCT(--(P17:AA17&lt;&gt;""),--(P$5:AA$5&lt;=$D$2))</x:f>
        <x:v>12</x:v>
      </x:c>
      <x:c r="AC17" s="28" t="n">
        <x:f>SUMPRODUCT(--(P17:AA17="Ejecutado"),--(P$5:AA$5&lt;=$D$2))</x:f>
        <x:v>12</x:v>
      </x:c>
      <x:c r="AD17" s="75" t="n">
        <x:f>IF(AB17=0,0,AC17/AB17)</x:f>
        <x:v>1</x:v>
      </x:c>
      <x:c r="AE17" s="28" t="str">
        <x:f>IF(AD17=1,"Cumplida",IF(AD17&gt;=0.8,"Cumplida con ajustes",IF(AD17&gt;0,"En ejecución","Pendiente")))</x:f>
        <x:v>Cumplida</x:v>
      </x:c>
    </x:row>
    <x:row r="18" ht="20" customHeight="1">
      <x:c r="A18" s="28" t="str">
        <x:v>PAT-012</x:v>
      </x:c>
      <x:c r="B18" s="28" t="n">
        <x:v>2024</x:v>
      </x:c>
      <x:c r="C18" s="28" t="str">
        <x:v>Todas las sedes</x:v>
      </x:c>
      <x:c r="D18" s="28" t="str">
        <x:v>Hacer</x:v>
      </x:c>
      <x:c r="E18" s="28" t="str">
        <x:v>Inspecciones</x:v>
      </x:c>
      <x:c r="F18" s="28" t="str">
        <x:v>Inspecciones planeadas</x:v>
      </x:c>
      <x:c r="G18" s="28" t="str">
        <x:v>Realizar inspecciones planeadas de seguridad en áreas, equipos y puestos de trabajo</x:v>
      </x:c>
      <x:c r="H18" s="28" t="str">
        <x:v>Identificar actos y condiciones inseguras</x:v>
      </x:c>
      <x:c r="I18" s="28" t="str">
        <x:v>12 inspecciones ejecutadas</x:v>
      </x:c>
      <x:c r="J18" s="28" t="str">
        <x:v>% de inspecciones ejecutadas</x:v>
      </x:c>
      <x:c r="K18" s="28" t="str">
        <x:v>Mensual</x:v>
      </x:c>
      <x:c r="L18" s="28" t="str">
        <x:v>SST / Jefes de área</x:v>
      </x:c>
      <x:c r="M18" s="73" t="n">
        <x:v>40</x:v>
      </x:c>
      <x:c r="N18" s="74" t="n">
        <x:v>3278400</x:v>
      </x:c>
      <x:c r="O18" s="28" t="str">
        <x:v>Checklists digitales</x:v>
      </x:c>
      <x:c r="P18" s="28" t="str">
        <x:v>Ejecutado</x:v>
      </x:c>
      <x:c r="Q18" s="28" t="str">
        <x:v>Ejecutado</x:v>
      </x:c>
      <x:c r="R18" s="28" t="str">
        <x:v>Ejecutado</x:v>
      </x:c>
      <x:c r="S18" s="28" t="str">
        <x:v>Ejecutado</x:v>
      </x:c>
      <x:c r="T18" s="28" t="str">
        <x:v>Ejecutado</x:v>
      </x:c>
      <x:c r="U18" s="28" t="str">
        <x:v>Ejecutado</x:v>
      </x:c>
      <x:c r="V18" s="28" t="str">
        <x:v>Ejecutado</x:v>
      </x:c>
      <x:c r="W18" s="28" t="str">
        <x:v>Ejecutado</x:v>
      </x:c>
      <x:c r="X18" s="28" t="str">
        <x:v>Ejecutado</x:v>
      </x:c>
      <x:c r="Y18" s="28" t="str">
        <x:v>Ejecutado</x:v>
      </x:c>
      <x:c r="Z18" s="28" t="str">
        <x:v>Ejecutado</x:v>
      </x:c>
      <x:c r="AA18" s="28" t="str">
        <x:v>Ejecutado</x:v>
      </x:c>
      <x:c r="AB18" s="28" t="n">
        <x:f>SUMPRODUCT(--(P18:AA18&lt;&gt;""),--(P$5:AA$5&lt;=$D$2))</x:f>
        <x:v>12</x:v>
      </x:c>
      <x:c r="AC18" s="28" t="n">
        <x:f>SUMPRODUCT(--(P18:AA18="Ejecutado"),--(P$5:AA$5&lt;=$D$2))</x:f>
        <x:v>12</x:v>
      </x:c>
      <x:c r="AD18" s="75" t="n">
        <x:f>IF(AB18=0,0,AC18/AB18)</x:f>
        <x:v>1</x:v>
      </x:c>
      <x:c r="AE18" s="28" t="str">
        <x:f>IF(AD18=1,"Cumplida",IF(AD18&gt;=0.8,"Cumplida con ajustes",IF(AD18&gt;0,"En ejecución","Pendiente")))</x:f>
        <x:v>Cumplida</x:v>
      </x:c>
    </x:row>
    <x:row r="19" ht="20" customHeight="1">
      <x:c r="A19" s="28" t="str">
        <x:v>PAT-013</x:v>
      </x:c>
      <x:c r="B19" s="28" t="n">
        <x:v>2024</x:v>
      </x:c>
      <x:c r="C19" s="28" t="str">
        <x:v>Todas las sedes</x:v>
      </x:c>
      <x:c r="D19" s="28" t="str">
        <x:v>Hacer</x:v>
      </x:c>
      <x:c r="E19" s="28" t="str">
        <x:v>Participación</x:v>
      </x:c>
      <x:c r="F19" s="28" t="str">
        <x:v>Reuniones COPASST</x:v>
      </x:c>
      <x:c r="G19" s="28" t="str">
        <x:v>Desarrollar reuniones mensuales de COPASST con seguimiento a compromisos</x:v>
      </x:c>
      <x:c r="H19" s="28" t="str">
        <x:v>Dar seguimiento participativo al SG-SST</x:v>
      </x:c>
      <x:c r="I19" s="28" t="str">
        <x:v>12 reuniones ejecutadas</x:v>
      </x:c>
      <x:c r="J19" s="28" t="str">
        <x:v>% de reuniones COPASST realizadas</x:v>
      </x:c>
      <x:c r="K19" s="28" t="str">
        <x:v>Mensual</x:v>
      </x:c>
      <x:c r="L19" s="28" t="str">
        <x:v>COPASST / SST</x:v>
      </x:c>
      <x:c r="M19" s="73" t="n">
        <x:v>30</x:v>
      </x:c>
      <x:c r="N19" s="74" t="n">
        <x:v>1311400</x:v>
      </x:c>
      <x:c r="O19" s="28" t="str">
        <x:v>Actas y seguimiento</x:v>
      </x:c>
      <x:c r="P19" s="28" t="str">
        <x:v>Ejecutado</x:v>
      </x:c>
      <x:c r="Q19" s="28" t="str">
        <x:v>Ejecutado</x:v>
      </x:c>
      <x:c r="R19" s="28" t="str">
        <x:v>Ejecutado</x:v>
      </x:c>
      <x:c r="S19" s="28" t="str">
        <x:v>Ejecutado</x:v>
      </x:c>
      <x:c r="T19" s="28" t="str">
        <x:v>Ejecutado</x:v>
      </x:c>
      <x:c r="U19" s="28" t="str">
        <x:v>Ejecutado</x:v>
      </x:c>
      <x:c r="V19" s="28" t="str">
        <x:v>Ejecutado</x:v>
      </x:c>
      <x:c r="W19" s="28" t="str">
        <x:v>Ejecutado</x:v>
      </x:c>
      <x:c r="X19" s="28" t="str">
        <x:v>Ejecutado</x:v>
      </x:c>
      <x:c r="Y19" s="28" t="str">
        <x:v>Ejecutado</x:v>
      </x:c>
      <x:c r="Z19" s="28" t="str">
        <x:v>Ejecutado</x:v>
      </x:c>
      <x:c r="AA19" s="28" t="str">
        <x:v>Cancelado</x:v>
      </x:c>
      <x:c r="AB19" s="28" t="n">
        <x:f>SUMPRODUCT(--(P19:AA19&lt;&gt;""),--(P$5:AA$5&lt;=$D$2))</x:f>
        <x:v>12</x:v>
      </x:c>
      <x:c r="AC19" s="28" t="n">
        <x:f>SUMPRODUCT(--(P19:AA19="Ejecutado"),--(P$5:AA$5&lt;=$D$2))</x:f>
        <x:v>11</x:v>
      </x:c>
      <x:c r="AD19" s="75" t="n">
        <x:f>IF(AB19=0,0,AC19/AB19)</x:f>
        <x:v>0.9166666666666666</x:v>
      </x:c>
      <x:c r="AE19" s="28" t="str">
        <x:f>IF(AD19=1,"Cumplida",IF(AD19&gt;=0.8,"Cumplida con ajustes",IF(AD19&gt;0,"En ejecución","Pendiente")))</x:f>
        <x:v>Cumplida con ajustes</x:v>
      </x:c>
    </x:row>
    <x:row r="20" ht="20" customHeight="1">
      <x:c r="A20" s="28" t="str">
        <x:v>PAT-014</x:v>
      </x:c>
      <x:c r="B20" s="28" t="n">
        <x:v>2024</x:v>
      </x:c>
      <x:c r="C20" s="28" t="str">
        <x:v>Todas las sedes</x:v>
      </x:c>
      <x:c r="D20" s="28" t="str">
        <x:v>Hacer</x:v>
      </x:c>
      <x:c r="E20" s="28" t="str">
        <x:v>Emergencias</x:v>
      </x:c>
      <x:c r="F20" s="28" t="str">
        <x:v>Brigada y simulacros</x:v>
      </x:c>
      <x:c r="G20" s="28" t="str">
        <x:v>Ejecutar capacitaciones de brigada y simulacros de emergencia</x:v>
      </x:c>
      <x:c r="H20" s="28" t="str">
        <x:v>Fortalecer la preparación ante emergencias</x:v>
      </x:c>
      <x:c r="I20" s="28" t="str">
        <x:v>4 actividades ejecutadas</x:v>
      </x:c>
      <x:c r="J20" s="28" t="str">
        <x:v>% de simulacros/capacitaciones ejecutadas</x:v>
      </x:c>
      <x:c r="K20" s="28" t="str">
        <x:v>Trimestral</x:v>
      </x:c>
      <x:c r="L20" s="28" t="str">
        <x:v>Brigada / SST</x:v>
      </x:c>
      <x:c r="M20" s="73" t="n">
        <x:v>40</x:v>
      </x:c>
      <x:c r="N20" s="74" t="n">
        <x:v>4589800</x:v>
      </x:c>
      <x:c r="O20" s="28" t="str">
        <x:v>Plan de emergencias</x:v>
      </x:c>
      <x:c r="P20" s="28" t="str"/>
      <x:c r="Q20" s="28" t="str"/>
      <x:c r="R20" s="28" t="str">
        <x:v>Ejecutado</x:v>
      </x:c>
      <x:c r="S20" s="28" t="str"/>
      <x:c r="T20" s="28" t="str"/>
      <x:c r="U20" s="28" t="str">
        <x:v>Ejecutado</x:v>
      </x:c>
      <x:c r="V20" s="28" t="str"/>
      <x:c r="W20" s="28" t="str"/>
      <x:c r="X20" s="28" t="str">
        <x:v>Ejecutado</x:v>
      </x:c>
      <x:c r="Y20" s="28" t="str"/>
      <x:c r="Z20" s="28" t="str"/>
      <x:c r="AA20" s="28" t="str">
        <x:v>Ejecutado</x:v>
      </x:c>
      <x:c r="AB20" s="28" t="n">
        <x:f>SUMPRODUCT(--(P20:AA20&lt;&gt;""),--(P$5:AA$5&lt;=$D$2))</x:f>
        <x:v>4</x:v>
      </x:c>
      <x:c r="AC20" s="28" t="n">
        <x:f>SUMPRODUCT(--(P20:AA20="Ejecutado"),--(P$5:AA$5&lt;=$D$2))</x:f>
        <x:v>4</x:v>
      </x:c>
      <x:c r="AD20" s="75" t="n">
        <x:f>IF(AB20=0,0,AC20/AB20)</x:f>
        <x:v>1</x:v>
      </x:c>
      <x:c r="AE20" s="28" t="str">
        <x:f>IF(AD20=1,"Cumplida",IF(AD20&gt;=0.8,"Cumplida con ajustes",IF(AD20&gt;0,"En ejecución","Pendiente")))</x:f>
        <x:v>Cumplida</x:v>
      </x:c>
    </x:row>
    <x:row r="21" ht="20" customHeight="1">
      <x:c r="A21" s="28" t="str">
        <x:v>PAT-015</x:v>
      </x:c>
      <x:c r="B21" s="28" t="n">
        <x:v>2024</x:v>
      </x:c>
      <x:c r="C21" s="28" t="str">
        <x:v>Todas las sedes</x:v>
      </x:c>
      <x:c r="D21" s="28" t="str">
        <x:v>Hacer</x:v>
      </x:c>
      <x:c r="E21" s="28" t="str">
        <x:v>Medicina del trabajo</x:v>
      </x:c>
      <x:c r="F21" s="28" t="str">
        <x:v>Exámenes médicos ocupacionales</x:v>
      </x:c>
      <x:c r="G21" s="28" t="str">
        <x:v>Programar y ejecutar exámenes médicos de ingreso, periódicos y retiro</x:v>
      </x:c>
      <x:c r="H21" s="28" t="str">
        <x:v>Vigilar el estado de salud de la población trabajadora</x:v>
      </x:c>
      <x:c r="I21" s="28" t="str">
        <x:v>2 cortes de seguimiento ejecutados</x:v>
      </x:c>
      <x:c r="J21" s="28" t="str">
        <x:v>% de cobertura de EMO</x:v>
      </x:c>
      <x:c r="K21" s="28" t="str">
        <x:v>Semestral</x:v>
      </x:c>
      <x:c r="L21" s="28" t="str">
        <x:v>Talento Humano / SST</x:v>
      </x:c>
      <x:c r="M21" s="73" t="n">
        <x:v>24</x:v>
      </x:c>
      <x:c r="N21" s="74" t="n">
        <x:v>5245400</x:v>
      </x:c>
      <x:c r="O21" s="28" t="str">
        <x:v>Base EMO</x:v>
      </x:c>
      <x:c r="P21" s="28" t="str"/>
      <x:c r="Q21" s="28" t="str"/>
      <x:c r="R21" s="28" t="str"/>
      <x:c r="S21" s="28" t="str">
        <x:v>Reprogramado</x:v>
      </x:c>
      <x:c r="T21" s="28" t="str"/>
      <x:c r="U21" s="28" t="str"/>
      <x:c r="V21" s="28" t="str"/>
      <x:c r="W21" s="28" t="str"/>
      <x:c r="X21" s="28" t="str"/>
      <x:c r="Y21" s="28" t="str">
        <x:v>Ejecutado</x:v>
      </x:c>
      <x:c r="Z21" s="28" t="str"/>
      <x:c r="AA21" s="28" t="str"/>
      <x:c r="AB21" s="28" t="n">
        <x:f>SUMPRODUCT(--(P21:AA21&lt;&gt;""),--(P$5:AA$5&lt;=$D$2))</x:f>
        <x:v>2</x:v>
      </x:c>
      <x:c r="AC21" s="28" t="n">
        <x:f>SUMPRODUCT(--(P21:AA21="Ejecutado"),--(P$5:AA$5&lt;=$D$2))</x:f>
        <x:v>1</x:v>
      </x:c>
      <x:c r="AD21" s="75" t="n">
        <x:f>IF(AB21=0,0,AC21/AB21)</x:f>
        <x:v>0.5</x:v>
      </x:c>
      <x:c r="AE21" s="28" t="str">
        <x:f>IF(AD21=1,"Cumplida",IF(AD21&gt;=0.8,"Cumplida con ajustes",IF(AD21&gt;0,"En ejecución","Pendiente")))</x:f>
        <x:v>En ejecución</x:v>
      </x:c>
    </x:row>
    <x:row r="22" ht="20" customHeight="1">
      <x:c r="A22" s="28" t="str">
        <x:v>PAT-016</x:v>
      </x:c>
      <x:c r="B22" s="28" t="n">
        <x:v>2024</x:v>
      </x:c>
      <x:c r="C22" s="28" t="str">
        <x:v>Todas las sedes</x:v>
      </x:c>
      <x:c r="D22" s="28" t="str">
        <x:v>Hacer</x:v>
      </x:c>
      <x:c r="E22" s="28" t="str">
        <x:v>Peligros y riesgos</x:v>
      </x:c>
      <x:c r="F22" s="28" t="str">
        <x:v>Matriz de peligros</x:v>
      </x:c>
      <x:c r="G22" s="28" t="str">
        <x:v>Actualizar la matriz de identificación de peligros, evaluación y valoración de riesgos</x:v>
      </x:c>
      <x:c r="H22" s="28" t="str">
        <x:v>Mantener controles acordes a los riesgos</x:v>
      </x:c>
      <x:c r="I22" s="28" t="str">
        <x:v>2 actualizaciones ejecutadas</x:v>
      </x:c>
      <x:c r="J22" s="28" t="str">
        <x:v>% de matriz actualizada</x:v>
      </x:c>
      <x:c r="K22" s="28" t="str">
        <x:v>Semestral</x:v>
      </x:c>
      <x:c r="L22" s="28" t="str">
        <x:v>SST / Líderes de proceso</x:v>
      </x:c>
      <x:c r="M22" s="73" t="n">
        <x:v>32</x:v>
      </x:c>
      <x:c r="N22" s="74" t="n">
        <x:v>3824800</x:v>
      </x:c>
      <x:c r="O22" s="28" t="str">
        <x:v>Matriz GTC 45</x:v>
      </x:c>
      <x:c r="P22" s="28" t="str"/>
      <x:c r="Q22" s="28" t="str"/>
      <x:c r="R22" s="28" t="str"/>
      <x:c r="S22" s="28" t="str"/>
      <x:c r="T22" s="28" t="str">
        <x:v>Ejecutado</x:v>
      </x:c>
      <x:c r="U22" s="28" t="str"/>
      <x:c r="V22" s="28" t="str"/>
      <x:c r="W22" s="28" t="str"/>
      <x:c r="X22" s="28" t="str"/>
      <x:c r="Y22" s="28" t="str"/>
      <x:c r="Z22" s="28" t="str">
        <x:v>Ejecutado</x:v>
      </x:c>
      <x:c r="AA22" s="28" t="str"/>
      <x:c r="AB22" s="28" t="n">
        <x:f>SUMPRODUCT(--(P22:AA22&lt;&gt;""),--(P$5:AA$5&lt;=$D$2))</x:f>
        <x:v>2</x:v>
      </x:c>
      <x:c r="AC22" s="28" t="n">
        <x:f>SUMPRODUCT(--(P22:AA22="Ejecutado"),--(P$5:AA$5&lt;=$D$2))</x:f>
        <x:v>2</x:v>
      </x:c>
      <x:c r="AD22" s="75" t="n">
        <x:f>IF(AB22=0,0,AC22/AB22)</x:f>
        <x:v>1</x:v>
      </x:c>
      <x:c r="AE22" s="28" t="str">
        <x:f>IF(AD22=1,"Cumplida",IF(AD22&gt;=0.8,"Cumplida con ajustes",IF(AD22&gt;0,"En ejecución","Pendiente")))</x:f>
        <x:v>Cumplida</x:v>
      </x:c>
    </x:row>
    <x:row r="23" ht="20" customHeight="1">
      <x:c r="A23" s="28" t="str">
        <x:v>PAT-017</x:v>
      </x:c>
      <x:c r="B23" s="28" t="n">
        <x:v>2024</x:v>
      </x:c>
      <x:c r="C23" s="28" t="str">
        <x:v>Todas las sedes</x:v>
      </x:c>
      <x:c r="D23" s="28" t="str">
        <x:v>Hacer</x:v>
      </x:c>
      <x:c r="E23" s="28" t="str">
        <x:v>EPP</x:v>
      </x:c>
      <x:c r="F23" s="28" t="str">
        <x:v>Gestión de EPP</x:v>
      </x:c>
      <x:c r="G23" s="28" t="str">
        <x:v>Realizar entrega, reposición y seguimiento al uso de elementos de protección personal</x:v>
      </x:c>
      <x:c r="H23" s="28" t="str">
        <x:v>Asegurar protección frente a los riesgos</x:v>
      </x:c>
      <x:c r="I23" s="28" t="str">
        <x:v>4 ciclos de control ejecutados</x:v>
      </x:c>
      <x:c r="J23" s="28" t="str">
        <x:v>% de entregas/control ejecutado</x:v>
      </x:c>
      <x:c r="K23" s="28" t="str">
        <x:v>Trimestral</x:v>
      </x:c>
      <x:c r="L23" s="28" t="str">
        <x:v>Almacén / SST</x:v>
      </x:c>
      <x:c r="M23" s="73" t="n">
        <x:v>28</x:v>
      </x:c>
      <x:c r="N23" s="74" t="n">
        <x:v>5682600</x:v>
      </x:c>
      <x:c r="O23" s="28" t="str">
        <x:v>Inventario / actas</x:v>
      </x:c>
      <x:c r="P23" s="28" t="str"/>
      <x:c r="Q23" s="28" t="str">
        <x:v>Ejecutado</x:v>
      </x:c>
      <x:c r="R23" s="28" t="str"/>
      <x:c r="S23" s="28" t="str"/>
      <x:c r="T23" s="28" t="str">
        <x:v>Ejecutado</x:v>
      </x:c>
      <x:c r="U23" s="28" t="str"/>
      <x:c r="V23" s="28" t="str"/>
      <x:c r="W23" s="28" t="str">
        <x:v>Ejecutado</x:v>
      </x:c>
      <x:c r="X23" s="28" t="str"/>
      <x:c r="Y23" s="28" t="str"/>
      <x:c r="Z23" s="28" t="str">
        <x:v>Ejecutado</x:v>
      </x:c>
      <x:c r="AA23" s="28" t="str"/>
      <x:c r="AB23" s="28" t="n">
        <x:f>SUMPRODUCT(--(P23:AA23&lt;&gt;""),--(P$5:AA$5&lt;=$D$2))</x:f>
        <x:v>4</x:v>
      </x:c>
      <x:c r="AC23" s="28" t="n">
        <x:f>SUMPRODUCT(--(P23:AA23="Ejecutado"),--(P$5:AA$5&lt;=$D$2))</x:f>
        <x:v>4</x:v>
      </x:c>
      <x:c r="AD23" s="75" t="n">
        <x:f>IF(AB23=0,0,AC23/AB23)</x:f>
        <x:v>1</x:v>
      </x:c>
      <x:c r="AE23" s="28" t="str">
        <x:f>IF(AD23=1,"Cumplida",IF(AD23&gt;=0.8,"Cumplida con ajustes",IF(AD23&gt;0,"En ejecución","Pendiente")))</x:f>
        <x:v>Cumplida</x:v>
      </x:c>
    </x:row>
    <x:row r="24" ht="20" customHeight="1">
      <x:c r="A24" s="28" t="str">
        <x:v>PAT-018</x:v>
      </x:c>
      <x:c r="B24" s="28" t="n">
        <x:v>2024</x:v>
      </x:c>
      <x:c r="C24" s="28" t="str">
        <x:v>Todas las sedes</x:v>
      </x:c>
      <x:c r="D24" s="28" t="str">
        <x:v>Hacer</x:v>
      </x:c>
      <x:c r="E24" s="28" t="str">
        <x:v>Contratistas</x:v>
      </x:c>
      <x:c r="F24" s="28" t="str">
        <x:v>Seguimiento a contratistas</x:v>
      </x:c>
      <x:c r="G24" s="28" t="str">
        <x:v>Ejecutar verificaciones SST a contratistas y proveedores críticos</x:v>
      </x:c>
      <x:c r="H24" s="28" t="str">
        <x:v>Controlar riesgos derivados de terceros</x:v>
      </x:c>
      <x:c r="I24" s="28" t="str">
        <x:v>4 verificaciones ejecutadas</x:v>
      </x:c>
      <x:c r="J24" s="28" t="str">
        <x:v>% de contratistas evaluados</x:v>
      </x:c>
      <x:c r="K24" s="28" t="str">
        <x:v>Trimestral</x:v>
      </x:c>
      <x:c r="L24" s="28" t="str">
        <x:v>Compras / SST</x:v>
      </x:c>
      <x:c r="M24" s="73" t="n">
        <x:v>24</x:v>
      </x:c>
      <x:c r="N24" s="74" t="n">
        <x:v>1967000</x:v>
      </x:c>
      <x:c r="O24" s="28" t="str">
        <x:v>Formato de evaluación</x:v>
      </x:c>
      <x:c r="P24" s="28" t="str"/>
      <x:c r="Q24" s="28" t="str"/>
      <x:c r="R24" s="28" t="str">
        <x:v>Ejecutado</x:v>
      </x:c>
      <x:c r="S24" s="28" t="str"/>
      <x:c r="T24" s="28" t="str"/>
      <x:c r="U24" s="28" t="str">
        <x:v>Ejecutado</x:v>
      </x:c>
      <x:c r="V24" s="28" t="str"/>
      <x:c r="W24" s="28" t="str"/>
      <x:c r="X24" s="28" t="str">
        <x:v>Ejecutado</x:v>
      </x:c>
      <x:c r="Y24" s="28" t="str"/>
      <x:c r="Z24" s="28" t="str"/>
      <x:c r="AA24" s="28" t="str">
        <x:v>Ejecutado</x:v>
      </x:c>
      <x:c r="AB24" s="28" t="n">
        <x:f>SUMPRODUCT(--(P24:AA24&lt;&gt;""),--(P$5:AA$5&lt;=$D$2))</x:f>
        <x:v>4</x:v>
      </x:c>
      <x:c r="AC24" s="28" t="n">
        <x:f>SUMPRODUCT(--(P24:AA24="Ejecutado"),--(P$5:AA$5&lt;=$D$2))</x:f>
        <x:v>4</x:v>
      </x:c>
      <x:c r="AD24" s="75" t="n">
        <x:f>IF(AB24=0,0,AC24/AB24)</x:f>
        <x:v>1</x:v>
      </x:c>
      <x:c r="AE24" s="28" t="str">
        <x:f>IF(AD24=1,"Cumplida",IF(AD24&gt;=0.8,"Cumplida con ajustes",IF(AD24&gt;0,"En ejecución","Pendiente")))</x:f>
        <x:v>Cumplida</x:v>
      </x:c>
    </x:row>
    <x:row r="25" ht="20" customHeight="1">
      <x:c r="A25" s="28" t="str">
        <x:v>PAT-019</x:v>
      </x:c>
      <x:c r="B25" s="28" t="n">
        <x:v>2024</x:v>
      </x:c>
      <x:c r="C25" s="28" t="str">
        <x:v>Todas las sedes</x:v>
      </x:c>
      <x:c r="D25" s="28" t="str">
        <x:v>Hacer</x:v>
      </x:c>
      <x:c r="E25" s="28" t="str">
        <x:v>Emergencias</x:v>
      </x:c>
      <x:c r="F25" s="28" t="str">
        <x:v>Equipos de emergencia</x:v>
      </x:c>
      <x:c r="G25" s="28" t="str">
        <x:v>Verificar y mantener extintores, botiquines, camillas y señalización</x:v>
      </x:c>
      <x:c r="H25" s="28" t="str">
        <x:v>Asegurar disponibilidad de recursos de emergencia</x:v>
      </x:c>
      <x:c r="I25" s="28" t="str">
        <x:v>12 seguimientos ejecutados</x:v>
      </x:c>
      <x:c r="J25" s="28" t="str">
        <x:v>% de recursos de emergencia operativos</x:v>
      </x:c>
      <x:c r="K25" s="28" t="str">
        <x:v>Mensual</x:v>
      </x:c>
      <x:c r="L25" s="28" t="str">
        <x:v>SST / Mantenimiento</x:v>
      </x:c>
      <x:c r="M25" s="73" t="n">
        <x:v>24</x:v>
      </x:c>
      <x:c r="N25" s="74" t="n">
        <x:v>2841300</x:v>
      </x:c>
      <x:c r="O25" s="28" t="str">
        <x:v>Cronograma mantenimiento</x:v>
      </x:c>
      <x:c r="P25" s="28" t="str">
        <x:v>Ejecutado</x:v>
      </x:c>
      <x:c r="Q25" s="28" t="str">
        <x:v>Ejecutado</x:v>
      </x:c>
      <x:c r="R25" s="28" t="str">
        <x:v>Ejecutado</x:v>
      </x:c>
      <x:c r="S25" s="28" t="str">
        <x:v>Ejecutado</x:v>
      </x:c>
      <x:c r="T25" s="28" t="str">
        <x:v>Ejecutado</x:v>
      </x:c>
      <x:c r="U25" s="28" t="str">
        <x:v>Ejecutado</x:v>
      </x:c>
      <x:c r="V25" s="28" t="str">
        <x:v>Ejecutado</x:v>
      </x:c>
      <x:c r="W25" s="28" t="str">
        <x:v>Ejecutado</x:v>
      </x:c>
      <x:c r="X25" s="28" t="str">
        <x:v>Ejecutado</x:v>
      </x:c>
      <x:c r="Y25" s="28" t="str">
        <x:v>Ejecutado</x:v>
      </x:c>
      <x:c r="Z25" s="28" t="str">
        <x:v>Ejecutado</x:v>
      </x:c>
      <x:c r="AA25" s="28" t="str">
        <x:v>Ejecutado</x:v>
      </x:c>
      <x:c r="AB25" s="28" t="n">
        <x:f>SUMPRODUCT(--(P25:AA25&lt;&gt;""),--(P$5:AA$5&lt;=$D$2))</x:f>
        <x:v>12</x:v>
      </x:c>
      <x:c r="AC25" s="28" t="n">
        <x:f>SUMPRODUCT(--(P25:AA25="Ejecutado"),--(P$5:AA$5&lt;=$D$2))</x:f>
        <x:v>12</x:v>
      </x:c>
      <x:c r="AD25" s="75" t="n">
        <x:f>IF(AB25=0,0,AC25/AB25)</x:f>
        <x:v>1</x:v>
      </x:c>
      <x:c r="AE25" s="28" t="str">
        <x:f>IF(AD25=1,"Cumplida",IF(AD25&gt;=0.8,"Cumplida con ajustes",IF(AD25&gt;0,"En ejecución","Pendiente")))</x:f>
        <x:v>Cumplida</x:v>
      </x:c>
    </x:row>
    <x:row r="26" ht="20" customHeight="1">
      <x:c r="A26" s="28" t="str">
        <x:v>PAT-020</x:v>
      </x:c>
      <x:c r="B26" s="28" t="n">
        <x:v>2024</x:v>
      </x:c>
      <x:c r="C26" s="28" t="str">
        <x:v>Todas las sedes</x:v>
      </x:c>
      <x:c r="D26" s="28" t="str">
        <x:v>Hacer</x:v>
      </x:c>
      <x:c r="E26" s="28" t="str">
        <x:v>Eventos</x:v>
      </x:c>
      <x:c r="F26" s="28" t="str">
        <x:v>Investigación de incidentes y accidentes</x:v>
      </x:c>
      <x:c r="G26" s="28" t="str">
        <x:v>Investigar eventos reportados y gestionar acciones derivadas</x:v>
      </x:c>
      <x:c r="H26" s="28" t="str">
        <x:v>Controlar recurrencia de eventos</x:v>
      </x:c>
      <x:c r="I26" s="28" t="str">
        <x:v>12 seguimientos mensuales</x:v>
      </x:c>
      <x:c r="J26" s="28" t="str">
        <x:v>% de investigaciones cerradas oportunamente</x:v>
      </x:c>
      <x:c r="K26" s="28" t="str">
        <x:v>Mensual</x:v>
      </x:c>
      <x:c r="L26" s="28" t="str">
        <x:v>SST / Jefes inmediatos</x:v>
      </x:c>
      <x:c r="M26" s="73" t="n">
        <x:v>30</x:v>
      </x:c>
      <x:c r="N26" s="74" t="n">
        <x:v>2404200</x:v>
      </x:c>
      <x:c r="O26" s="28" t="str">
        <x:v>Formatos investigación</x:v>
      </x:c>
      <x:c r="P26" s="28" t="str">
        <x:v>Ejecutado</x:v>
      </x:c>
      <x:c r="Q26" s="28" t="str">
        <x:v>Ejecutado</x:v>
      </x:c>
      <x:c r="R26" s="28" t="str">
        <x:v>Reprogramado</x:v>
      </x:c>
      <x:c r="S26" s="28" t="str">
        <x:v>Ejecutado</x:v>
      </x:c>
      <x:c r="T26" s="28" t="str">
        <x:v>Ejecutado</x:v>
      </x:c>
      <x:c r="U26" s="28" t="str">
        <x:v>Ejecutado</x:v>
      </x:c>
      <x:c r="V26" s="28" t="str">
        <x:v>Ejecutado</x:v>
      </x:c>
      <x:c r="W26" s="28" t="str">
        <x:v>Ejecutado</x:v>
      </x:c>
      <x:c r="X26" s="28" t="str">
        <x:v>Ejecutado</x:v>
      </x:c>
      <x:c r="Y26" s="28" t="str">
        <x:v>Ejecutado</x:v>
      </x:c>
      <x:c r="Z26" s="28" t="str">
        <x:v>Ejecutado</x:v>
      </x:c>
      <x:c r="AA26" s="28" t="str">
        <x:v>Ejecutado</x:v>
      </x:c>
      <x:c r="AB26" s="28" t="n">
        <x:f>SUMPRODUCT(--(P26:AA26&lt;&gt;""),--(P$5:AA$5&lt;=$D$2))</x:f>
        <x:v>12</x:v>
      </x:c>
      <x:c r="AC26" s="28" t="n">
        <x:f>SUMPRODUCT(--(P26:AA26="Ejecutado"),--(P$5:AA$5&lt;=$D$2))</x:f>
        <x:v>11</x:v>
      </x:c>
      <x:c r="AD26" s="75" t="n">
        <x:f>IF(AB26=0,0,AC26/AB26)</x:f>
        <x:v>0.9166666666666666</x:v>
      </x:c>
      <x:c r="AE26" s="28" t="str">
        <x:f>IF(AD26=1,"Cumplida",IF(AD26&gt;=0.8,"Cumplida con ajustes",IF(AD26&gt;0,"En ejecución","Pendiente")))</x:f>
        <x:v>Cumplida con ajustes</x:v>
      </x:c>
    </x:row>
    <x:row r="27" ht="20" customHeight="1">
      <x:c r="A27" s="28" t="str">
        <x:v>PAT-021</x:v>
      </x:c>
      <x:c r="B27" s="28" t="n">
        <x:v>2024</x:v>
      </x:c>
      <x:c r="C27" s="28" t="str">
        <x:v>Todas las sedes</x:v>
      </x:c>
      <x:c r="D27" s="28" t="str">
        <x:v>Hacer</x:v>
      </x:c>
      <x:c r="E27" s="28" t="str">
        <x:v>Promoción y prevención</x:v>
      </x:c>
      <x:c r="F27" s="28" t="str">
        <x:v>Programas de vigilancia / PyP</x:v>
      </x:c>
      <x:c r="G27" s="28" t="str">
        <x:v>Ejecutar actividades de promoción y prevención de la salud</x:v>
      </x:c>
      <x:c r="H27" s="28" t="str">
        <x:v>Prevenir afectaciones asociadas a riesgos prioritarios</x:v>
      </x:c>
      <x:c r="I27" s="28" t="str">
        <x:v>4 campañas ejecutadas</x:v>
      </x:c>
      <x:c r="J27" s="28" t="str">
        <x:v>% de campañas ejecutadas</x:v>
      </x:c>
      <x:c r="K27" s="28" t="str">
        <x:v>Trimestral</x:v>
      </x:c>
      <x:c r="L27" s="28" t="str">
        <x:v>SST / Bienestar</x:v>
      </x:c>
      <x:c r="M27" s="73" t="n">
        <x:v>26</x:v>
      </x:c>
      <x:c r="N27" s="74" t="n">
        <x:v>3278400</x:v>
      </x:c>
      <x:c r="O27" s="28" t="str">
        <x:v>Material educativo</x:v>
      </x:c>
      <x:c r="P27" s="28" t="str"/>
      <x:c r="Q27" s="28" t="str">
        <x:v>Ejecutado</x:v>
      </x:c>
      <x:c r="R27" s="28" t="str"/>
      <x:c r="S27" s="28" t="str"/>
      <x:c r="T27" s="28" t="str">
        <x:v>Ejecutado</x:v>
      </x:c>
      <x:c r="U27" s="28" t="str"/>
      <x:c r="V27" s="28" t="str"/>
      <x:c r="W27" s="28" t="str">
        <x:v>Ejecutado</x:v>
      </x:c>
      <x:c r="X27" s="28" t="str"/>
      <x:c r="Y27" s="28" t="str"/>
      <x:c r="Z27" s="28" t="str">
        <x:v>Ejecutado</x:v>
      </x:c>
      <x:c r="AA27" s="28" t="str"/>
      <x:c r="AB27" s="28" t="n">
        <x:f>SUMPRODUCT(--(P27:AA27&lt;&gt;""),--(P$5:AA$5&lt;=$D$2))</x:f>
        <x:v>4</x:v>
      </x:c>
      <x:c r="AC27" s="28" t="n">
        <x:f>SUMPRODUCT(--(P27:AA27="Ejecutado"),--(P$5:AA$5&lt;=$D$2))</x:f>
        <x:v>4</x:v>
      </x:c>
      <x:c r="AD27" s="75" t="n">
        <x:f>IF(AB27=0,0,AC27/AB27)</x:f>
        <x:v>1</x:v>
      </x:c>
      <x:c r="AE27" s="28" t="str">
        <x:f>IF(AD27=1,"Cumplida",IF(AD27&gt;=0.8,"Cumplida con ajustes",IF(AD27&gt;0,"En ejecución","Pendiente")))</x:f>
        <x:v>Cumplida</x:v>
      </x:c>
    </x:row>
    <x:row r="28" ht="20" customHeight="1">
      <x:c r="A28" s="28" t="str">
        <x:v>PAT-022</x:v>
      </x:c>
      <x:c r="B28" s="28" t="n">
        <x:v>2024</x:v>
      </x:c>
      <x:c r="C28" s="28" t="str">
        <x:v>Todas las sedes</x:v>
      </x:c>
      <x:c r="D28" s="28" t="str">
        <x:v>Hacer</x:v>
      </x:c>
      <x:c r="E28" s="28" t="str">
        <x:v>Psicosocial</x:v>
      </x:c>
      <x:c r="F28" s="28" t="str">
        <x:v>Bienestar y riesgo psicosocial</x:v>
      </x:c>
      <x:c r="G28" s="28" t="str">
        <x:v>Desarrollar actividades de bienestar, convivencia y gestión del riesgo psicosocial</x:v>
      </x:c>
      <x:c r="H28" s="28" t="str">
        <x:v>Fortalecer factores protectores</x:v>
      </x:c>
      <x:c r="I28" s="28" t="str">
        <x:v>2 jornadas ejecutadas</x:v>
      </x:c>
      <x:c r="J28" s="28" t="str">
        <x:v>% de actividades psicosociales ejecutadas</x:v>
      </x:c>
      <x:c r="K28" s="28" t="str">
        <x:v>Semestral</x:v>
      </x:c>
      <x:c r="L28" s="28" t="str">
        <x:v>Talento Humano / SST</x:v>
      </x:c>
      <x:c r="M28" s="73" t="n">
        <x:v>20</x:v>
      </x:c>
      <x:c r="N28" s="74" t="n">
        <x:v>2732000</x:v>
      </x:c>
      <x:c r="O28" s="28" t="str">
        <x:v>Encuestas / talleres</x:v>
      </x:c>
      <x:c r="P28" s="28" t="str"/>
      <x:c r="Q28" s="28" t="str"/>
      <x:c r="R28" s="28" t="str"/>
      <x:c r="S28" s="28" t="str">
        <x:v>Ejecutado</x:v>
      </x:c>
      <x:c r="T28" s="28" t="str"/>
      <x:c r="U28" s="28" t="str"/>
      <x:c r="V28" s="28" t="str"/>
      <x:c r="W28" s="28" t="str"/>
      <x:c r="X28" s="28" t="str"/>
      <x:c r="Y28" s="28" t="str">
        <x:v>Ejecutado</x:v>
      </x:c>
      <x:c r="Z28" s="28" t="str"/>
      <x:c r="AA28" s="28" t="str"/>
      <x:c r="AB28" s="28" t="n">
        <x:f>SUMPRODUCT(--(P28:AA28&lt;&gt;""),--(P$5:AA$5&lt;=$D$2))</x:f>
        <x:v>2</x:v>
      </x:c>
      <x:c r="AC28" s="28" t="n">
        <x:f>SUMPRODUCT(--(P28:AA28="Ejecutado"),--(P$5:AA$5&lt;=$D$2))</x:f>
        <x:v>2</x:v>
      </x:c>
      <x:c r="AD28" s="75" t="n">
        <x:f>IF(AB28=0,0,AC28/AB28)</x:f>
        <x:v>1</x:v>
      </x:c>
      <x:c r="AE28" s="28" t="str">
        <x:f>IF(AD28=1,"Cumplida",IF(AD28&gt;=0.8,"Cumplida con ajustes",IF(AD28&gt;0,"En ejecución","Pendiente")))</x:f>
        <x:v>Cumplida</x:v>
      </x:c>
    </x:row>
    <x:row r="29" ht="20" customHeight="1">
      <x:c r="A29" s="28" t="str">
        <x:v>PAT-023</x:v>
      </x:c>
      <x:c r="B29" s="28" t="n">
        <x:v>2024</x:v>
      </x:c>
      <x:c r="C29" s="28" t="str">
        <x:v>Todas las sedes</x:v>
      </x:c>
      <x:c r="D29" s="28" t="str">
        <x:v>Hacer</x:v>
      </x:c>
      <x:c r="E29" s="28" t="str">
        <x:v>Capacitación</x:v>
      </x:c>
      <x:c r="F29" s="28" t="str">
        <x:v>Ejecución del plan de capacitación</x:v>
      </x:c>
      <x:c r="G29" s="28" t="str">
        <x:v>Ejecutar el cronograma de formación y capacitaciones SST</x:v>
      </x:c>
      <x:c r="H29" s="28" t="str">
        <x:v>Garantizar cumplimiento del plan anual de formación</x:v>
      </x:c>
      <x:c r="I29" s="28" t="str">
        <x:v>12 actividades ejecutadas</x:v>
      </x:c>
      <x:c r="J29" s="28" t="str">
        <x:v>% de cumplimiento del plan de formación</x:v>
      </x:c>
      <x:c r="K29" s="28" t="str">
        <x:v>Mensual</x:v>
      </x:c>
      <x:c r="L29" s="28" t="str">
        <x:v>SST / Talento Humano</x:v>
      </x:c>
      <x:c r="M29" s="73" t="n">
        <x:v>36</x:v>
      </x:c>
      <x:c r="N29" s="74" t="n">
        <x:v>4589800</x:v>
      </x:c>
      <x:c r="O29" s="28" t="str">
        <x:v>Plan de formación</x:v>
      </x:c>
      <x:c r="P29" s="28" t="str">
        <x:v>Ejecutado</x:v>
      </x:c>
      <x:c r="Q29" s="28" t="str">
        <x:v>Ejecutado</x:v>
      </x:c>
      <x:c r="R29" s="28" t="str">
        <x:v>Ejecutado</x:v>
      </x:c>
      <x:c r="S29" s="28" t="str">
        <x:v>Ejecutado</x:v>
      </x:c>
      <x:c r="T29" s="28" t="str">
        <x:v>Ejecutado</x:v>
      </x:c>
      <x:c r="U29" s="28" t="str">
        <x:v>Ejecutado</x:v>
      </x:c>
      <x:c r="V29" s="28" t="str">
        <x:v>Ejecutado</x:v>
      </x:c>
      <x:c r="W29" s="28" t="str">
        <x:v>Ejecutado</x:v>
      </x:c>
      <x:c r="X29" s="28" t="str">
        <x:v>Ejecutado</x:v>
      </x:c>
      <x:c r="Y29" s="28" t="str">
        <x:v>Ejecutado</x:v>
      </x:c>
      <x:c r="Z29" s="28" t="str">
        <x:v>Ejecutado</x:v>
      </x:c>
      <x:c r="AA29" s="28" t="str">
        <x:v>Reprogramado</x:v>
      </x:c>
      <x:c r="AB29" s="28" t="n">
        <x:f>SUMPRODUCT(--(P29:AA29&lt;&gt;""),--(P$5:AA$5&lt;=$D$2))</x:f>
        <x:v>12</x:v>
      </x:c>
      <x:c r="AC29" s="28" t="n">
        <x:f>SUMPRODUCT(--(P29:AA29="Ejecutado"),--(P$5:AA$5&lt;=$D$2))</x:f>
        <x:v>11</x:v>
      </x:c>
      <x:c r="AD29" s="75" t="n">
        <x:f>IF(AB29=0,0,AC29/AB29)</x:f>
        <x:v>0.9166666666666666</x:v>
      </x:c>
      <x:c r="AE29" s="28" t="str">
        <x:f>IF(AD29=1,"Cumplida",IF(AD29&gt;=0.8,"Cumplida con ajustes",IF(AD29&gt;0,"En ejecución","Pendiente")))</x:f>
        <x:v>Cumplida con ajustes</x:v>
      </x:c>
    </x:row>
    <x:row r="30" ht="20" customHeight="1">
      <x:c r="A30" s="28" t="str">
        <x:v>PAT-024</x:v>
      </x:c>
      <x:c r="B30" s="28" t="n">
        <x:v>2024</x:v>
      </x:c>
      <x:c r="C30" s="28" t="str">
        <x:v>Todas las sedes</x:v>
      </x:c>
      <x:c r="D30" s="28" t="str">
        <x:v>Hacer</x:v>
      </x:c>
      <x:c r="E30" s="28" t="str">
        <x:v>Infraestructura</x:v>
      </x:c>
      <x:c r="F30" s="28" t="str">
        <x:v>Mantenimiento preventivo</x:v>
      </x:c>
      <x:c r="G30" s="28" t="str">
        <x:v>Realizar mantenimiento preventivo a equipos críticos e infraestructura asociada a SST</x:v>
      </x:c>
      <x:c r="H30" s="28" t="str">
        <x:v>Garantizar condiciones seguras de operación</x:v>
      </x:c>
      <x:c r="I30" s="28" t="str">
        <x:v>12 mantenimientos/seguimientos ejecutados</x:v>
      </x:c>
      <x:c r="J30" s="28" t="str">
        <x:v>% de mantenimiento preventivo ejecutado</x:v>
      </x:c>
      <x:c r="K30" s="28" t="str">
        <x:v>Mensual</x:v>
      </x:c>
      <x:c r="L30" s="28" t="str">
        <x:v>Mantenimiento / SST</x:v>
      </x:c>
      <x:c r="M30" s="73" t="n">
        <x:v>36</x:v>
      </x:c>
      <x:c r="N30" s="74" t="n">
        <x:v>6119700</x:v>
      </x:c>
      <x:c r="O30" s="28" t="str">
        <x:v>Cronograma mantenimiento</x:v>
      </x:c>
      <x:c r="P30" s="28" t="str">
        <x:v>Ejecutado</x:v>
      </x:c>
      <x:c r="Q30" s="28" t="str">
        <x:v>Ejecutado</x:v>
      </x:c>
      <x:c r="R30" s="28" t="str">
        <x:v>Ejecutado</x:v>
      </x:c>
      <x:c r="S30" s="28" t="str">
        <x:v>Ejecutado</x:v>
      </x:c>
      <x:c r="T30" s="28" t="str">
        <x:v>Ejecutado</x:v>
      </x:c>
      <x:c r="U30" s="28" t="str">
        <x:v>Ejecutado</x:v>
      </x:c>
      <x:c r="V30" s="28" t="str">
        <x:v>Ejecutado</x:v>
      </x:c>
      <x:c r="W30" s="28" t="str">
        <x:v>Ejecutado</x:v>
      </x:c>
      <x:c r="X30" s="28" t="str">
        <x:v>Ejecutado</x:v>
      </x:c>
      <x:c r="Y30" s="28" t="str">
        <x:v>Ejecutado</x:v>
      </x:c>
      <x:c r="Z30" s="28" t="str">
        <x:v>Ejecutado</x:v>
      </x:c>
      <x:c r="AA30" s="28" t="str">
        <x:v>Ejecutado</x:v>
      </x:c>
      <x:c r="AB30" s="28" t="n">
        <x:f>SUMPRODUCT(--(P30:AA30&lt;&gt;""),--(P$5:AA$5&lt;=$D$2))</x:f>
        <x:v>12</x:v>
      </x:c>
      <x:c r="AC30" s="28" t="n">
        <x:f>SUMPRODUCT(--(P30:AA30="Ejecutado"),--(P$5:AA$5&lt;=$D$2))</x:f>
        <x:v>12</x:v>
      </x:c>
      <x:c r="AD30" s="75" t="n">
        <x:f>IF(AB30=0,0,AC30/AB30)</x:f>
        <x:v>1</x:v>
      </x:c>
      <x:c r="AE30" s="28" t="str">
        <x:f>IF(AD30=1,"Cumplida",IF(AD30&gt;=0.8,"Cumplida con ajustes",IF(AD30&gt;0,"En ejecución","Pendiente")))</x:f>
        <x:v>Cumplida</x:v>
      </x:c>
    </x:row>
    <x:row r="31" ht="20" customHeight="1">
      <x:c r="A31" s="28" t="str">
        <x:v>PAT-025</x:v>
      </x:c>
      <x:c r="B31" s="28" t="n">
        <x:v>2024</x:v>
      </x:c>
      <x:c r="C31" s="28" t="str">
        <x:v>Todas las sedes</x:v>
      </x:c>
      <x:c r="D31" s="28" t="str">
        <x:v>Verificar</x:v>
      </x:c>
      <x:c r="E31" s="28" t="str">
        <x:v>Indicadores</x:v>
      </x:c>
      <x:c r="F31" s="28" t="str">
        <x:v>Medición de indicadores</x:v>
      </x:c>
      <x:c r="G31" s="28" t="str">
        <x:v>Medir y analizar mensualmente los indicadores de estructura, proceso y resultado del SG-SST</x:v>
      </x:c>
      <x:c r="H31" s="28" t="str">
        <x:v>Hacer seguimiento al desempeño del sistema</x:v>
      </x:c>
      <x:c r="I31" s="28" t="str">
        <x:v>12 mediciones realizadas</x:v>
      </x:c>
      <x:c r="J31" s="28" t="str">
        <x:v>% de indicadores reportados oportunamente</x:v>
      </x:c>
      <x:c r="K31" s="28" t="str">
        <x:v>Mensual</x:v>
      </x:c>
      <x:c r="L31" s="28" t="str">
        <x:v>SST / Gerencia</x:v>
      </x:c>
      <x:c r="M31" s="73" t="n">
        <x:v>24</x:v>
      </x:c>
      <x:c r="N31" s="74" t="n">
        <x:v>1639200</x:v>
      </x:c>
      <x:c r="O31" s="28" t="str">
        <x:v>Dashboard / Looker</x:v>
      </x:c>
      <x:c r="P31" s="28" t="str">
        <x:v>Ejecutado</x:v>
      </x:c>
      <x:c r="Q31" s="28" t="str">
        <x:v>Ejecutado</x:v>
      </x:c>
      <x:c r="R31" s="28" t="str">
        <x:v>Ejecutado</x:v>
      </x:c>
      <x:c r="S31" s="28" t="str">
        <x:v>Cancelado</x:v>
      </x:c>
      <x:c r="T31" s="28" t="str">
        <x:v>Ejecutado</x:v>
      </x:c>
      <x:c r="U31" s="28" t="str">
        <x:v>Ejecutado</x:v>
      </x:c>
      <x:c r="V31" s="28" t="str">
        <x:v>Ejecutado</x:v>
      </x:c>
      <x:c r="W31" s="28" t="str">
        <x:v>Ejecutado</x:v>
      </x:c>
      <x:c r="X31" s="28" t="str">
        <x:v>Ejecutado</x:v>
      </x:c>
      <x:c r="Y31" s="28" t="str">
        <x:v>Ejecutado</x:v>
      </x:c>
      <x:c r="Z31" s="28" t="str">
        <x:v>Ejecutado</x:v>
      </x:c>
      <x:c r="AA31" s="28" t="str">
        <x:v>Ejecutado</x:v>
      </x:c>
      <x:c r="AB31" s="28" t="n">
        <x:f>SUMPRODUCT(--(P31:AA31&lt;&gt;""),--(P$5:AA$5&lt;=$D$2))</x:f>
        <x:v>12</x:v>
      </x:c>
      <x:c r="AC31" s="28" t="n">
        <x:f>SUMPRODUCT(--(P31:AA31="Ejecutado"),--(P$5:AA$5&lt;=$D$2))</x:f>
        <x:v>11</x:v>
      </x:c>
      <x:c r="AD31" s="75" t="n">
        <x:f>IF(AB31=0,0,AC31/AB31)</x:f>
        <x:v>0.9166666666666666</x:v>
      </x:c>
      <x:c r="AE31" s="28" t="str">
        <x:f>IF(AD31=1,"Cumplida",IF(AD31&gt;=0.8,"Cumplida con ajustes",IF(AD31&gt;0,"En ejecución","Pendiente")))</x:f>
        <x:v>Cumplida con ajustes</x:v>
      </x:c>
    </x:row>
    <x:row r="32" ht="20" customHeight="1">
      <x:c r="A32" s="28" t="str">
        <x:v>PAT-026</x:v>
      </x:c>
      <x:c r="B32" s="28" t="n">
        <x:v>2024</x:v>
      </x:c>
      <x:c r="C32" s="28" t="str">
        <x:v>Todas las sedes</x:v>
      </x:c>
      <x:c r="D32" s="28" t="str">
        <x:v>Verificar</x:v>
      </x:c>
      <x:c r="E32" s="28" t="str">
        <x:v>Requisitos legales</x:v>
      </x:c>
      <x:c r="F32" s="28" t="str">
        <x:v>Revisión de cumplimiento legal</x:v>
      </x:c>
      <x:c r="G32" s="28" t="str">
        <x:v>Verificar trimestralmente el cumplimiento de requisitos legales aplicables</x:v>
      </x:c>
      <x:c r="H32" s="28" t="str">
        <x:v>Detectar incumplimientos y definir acciones</x:v>
      </x:c>
      <x:c r="I32" s="28" t="str">
        <x:v>4 revisiones ejecutadas</x:v>
      </x:c>
      <x:c r="J32" s="28" t="str">
        <x:v>% de revisión legal ejecutada</x:v>
      </x:c>
      <x:c r="K32" s="28" t="str">
        <x:v>Trimestral</x:v>
      </x:c>
      <x:c r="L32" s="28" t="str">
        <x:v>SST / Jurídica</x:v>
      </x:c>
      <x:c r="M32" s="73" t="n">
        <x:v>18</x:v>
      </x:c>
      <x:c r="N32" s="74" t="n">
        <x:v>1529900</x:v>
      </x:c>
      <x:c r="O32" s="28" t="str">
        <x:v>Matriz legal</x:v>
      </x:c>
      <x:c r="P32" s="28" t="str"/>
      <x:c r="Q32" s="28" t="str"/>
      <x:c r="R32" s="28" t="str">
        <x:v>Ejecutado</x:v>
      </x:c>
      <x:c r="S32" s="28" t="str"/>
      <x:c r="T32" s="28" t="str"/>
      <x:c r="U32" s="28" t="str">
        <x:v>Ejecutado</x:v>
      </x:c>
      <x:c r="V32" s="28" t="str"/>
      <x:c r="W32" s="28" t="str"/>
      <x:c r="X32" s="28" t="str">
        <x:v>Ejecutado</x:v>
      </x:c>
      <x:c r="Y32" s="28" t="str"/>
      <x:c r="Z32" s="28" t="str"/>
      <x:c r="AA32" s="28" t="str">
        <x:v>Ejecutado</x:v>
      </x:c>
      <x:c r="AB32" s="28" t="n">
        <x:f>SUMPRODUCT(--(P32:AA32&lt;&gt;""),--(P$5:AA$5&lt;=$D$2))</x:f>
        <x:v>4</x:v>
      </x:c>
      <x:c r="AC32" s="28" t="n">
        <x:f>SUMPRODUCT(--(P32:AA32="Ejecutado"),--(P$5:AA$5&lt;=$D$2))</x:f>
        <x:v>4</x:v>
      </x:c>
      <x:c r="AD32" s="75" t="n">
        <x:f>IF(AB32=0,0,AC32/AB32)</x:f>
        <x:v>1</x:v>
      </x:c>
      <x:c r="AE32" s="28" t="str">
        <x:f>IF(AD32=1,"Cumplida",IF(AD32&gt;=0.8,"Cumplida con ajustes",IF(AD32&gt;0,"En ejecución","Pendiente")))</x:f>
        <x:v>Cumplida</x:v>
      </x:c>
    </x:row>
    <x:row r="33" ht="20" customHeight="1">
      <x:c r="A33" s="28" t="str">
        <x:v>PAT-027</x:v>
      </x:c>
      <x:c r="B33" s="28" t="n">
        <x:v>2024</x:v>
      </x:c>
      <x:c r="C33" s="28" t="str">
        <x:v>Todas las sedes</x:v>
      </x:c>
      <x:c r="D33" s="28" t="str">
        <x:v>Verificar</x:v>
      </x:c>
      <x:c r="E33" s="28" t="str">
        <x:v>Auditoría</x:v>
      </x:c>
      <x:c r="F33" s="28" t="str">
        <x:v>Auditoría interna SG-SST</x:v>
      </x:c>
      <x:c r="G33" s="28" t="str">
        <x:v>Programar y ejecutar auditoría interna del SG-SST</x:v>
      </x:c>
      <x:c r="H33" s="28" t="str">
        <x:v>Evaluar la eficacia del sistema</x:v>
      </x:c>
      <x:c r="I33" s="28" t="str">
        <x:v>1 auditoría realizada</x:v>
      </x:c>
      <x:c r="J33" s="28" t="str">
        <x:v>Auditoría interna ejecutada</x:v>
      </x:c>
      <x:c r="K33" s="28" t="str">
        <x:v>Anual</x:v>
      </x:c>
      <x:c r="L33" s="28" t="str">
        <x:v>Auditor interno / SST</x:v>
      </x:c>
      <x:c r="M33" s="73" t="n">
        <x:v>40</x:v>
      </x:c>
      <x:c r="N33" s="74" t="n">
        <x:v>3278400</x:v>
      </x:c>
      <x:c r="O33" s="28" t="str">
        <x:v>Programa de auditoría</x:v>
      </x:c>
      <x:c r="P33" s="28" t="str"/>
      <x:c r="Q33" s="28" t="str"/>
      <x:c r="R33" s="28" t="str"/>
      <x:c r="S33" s="28" t="str"/>
      <x:c r="T33" s="28" t="str"/>
      <x:c r="U33" s="28" t="str"/>
      <x:c r="V33" s="28" t="str"/>
      <x:c r="W33" s="28" t="str">
        <x:v>Ejecutado</x:v>
      </x:c>
      <x:c r="X33" s="28" t="str"/>
      <x:c r="Y33" s="28" t="str"/>
      <x:c r="Z33" s="28" t="str"/>
      <x:c r="AA33" s="28" t="str"/>
      <x:c r="AB33" s="28" t="n">
        <x:f>SUMPRODUCT(--(P33:AA33&lt;&gt;""),--(P$5:AA$5&lt;=$D$2))</x:f>
        <x:v>1</x:v>
      </x:c>
      <x:c r="AC33" s="28" t="n">
        <x:f>SUMPRODUCT(--(P33:AA33="Ejecutado"),--(P$5:AA$5&lt;=$D$2))</x:f>
        <x:v>1</x:v>
      </x:c>
      <x:c r="AD33" s="75" t="n">
        <x:f>IF(AB33=0,0,AC33/AB33)</x:f>
        <x:v>1</x:v>
      </x:c>
      <x:c r="AE33" s="28" t="str">
        <x:f>IF(AD33=1,"Cumplida",IF(AD33&gt;=0.8,"Cumplida con ajustes",IF(AD33&gt;0,"En ejecución","Pendiente")))</x:f>
        <x:v>Cumplida</x:v>
      </x:c>
    </x:row>
    <x:row r="34" ht="20" customHeight="1">
      <x:c r="A34" s="28" t="str">
        <x:v>PAT-028</x:v>
      </x:c>
      <x:c r="B34" s="28" t="n">
        <x:v>2024</x:v>
      </x:c>
      <x:c r="C34" s="28" t="str">
        <x:v>Todas las sedes</x:v>
      </x:c>
      <x:c r="D34" s="28" t="str">
        <x:v>Verificar</x:v>
      </x:c>
      <x:c r="E34" s="28" t="str">
        <x:v>Mejora continua</x:v>
      </x:c>
      <x:c r="F34" s="28" t="str">
        <x:v>Seguimiento a planes de acción</x:v>
      </x:c>
      <x:c r="G34" s="28" t="str">
        <x:v>Verificar el cierre de acciones correctivas, preventivas y de mejora</x:v>
      </x:c>
      <x:c r="H34" s="28" t="str">
        <x:v>Asegurar eficacia de las acciones</x:v>
      </x:c>
      <x:c r="I34" s="28" t="str">
        <x:v>12 seguimientos ejecutados</x:v>
      </x:c>
      <x:c r="J34" s="28" t="str">
        <x:v>% de acciones cerradas</x:v>
      </x:c>
      <x:c r="K34" s="28" t="str">
        <x:v>Mensual</x:v>
      </x:c>
      <x:c r="L34" s="28" t="str">
        <x:v>SST / Responsables de proceso</x:v>
      </x:c>
      <x:c r="M34" s="73" t="n">
        <x:v>24</x:v>
      </x:c>
      <x:c r="N34" s="74" t="n">
        <x:v>1967000</x:v>
      </x:c>
      <x:c r="O34" s="28" t="str">
        <x:v>Matriz APCM</x:v>
      </x:c>
      <x:c r="P34" s="28" t="str">
        <x:v>Ejecutado</x:v>
      </x:c>
      <x:c r="Q34" s="28" t="str">
        <x:v>Ejecutado</x:v>
      </x:c>
      <x:c r="R34" s="28" t="str">
        <x:v>Ejecutado</x:v>
      </x:c>
      <x:c r="S34" s="28" t="str">
        <x:v>Ejecutado</x:v>
      </x:c>
      <x:c r="T34" s="28" t="str">
        <x:v>Ejecutado</x:v>
      </x:c>
      <x:c r="U34" s="28" t="str">
        <x:v>Ejecutado</x:v>
      </x:c>
      <x:c r="V34" s="28" t="str">
        <x:v>Ejecutado</x:v>
      </x:c>
      <x:c r="W34" s="28" t="str">
        <x:v>Ejecutado</x:v>
      </x:c>
      <x:c r="X34" s="28" t="str">
        <x:v>Ejecutado</x:v>
      </x:c>
      <x:c r="Y34" s="28" t="str">
        <x:v>Ejecutado</x:v>
      </x:c>
      <x:c r="Z34" s="28" t="str">
        <x:v>Ejecutado</x:v>
      </x:c>
      <x:c r="AA34" s="28" t="str">
        <x:v>Ejecutado</x:v>
      </x:c>
      <x:c r="AB34" s="28" t="n">
        <x:f>SUMPRODUCT(--(P34:AA34&lt;&gt;""),--(P$5:AA$5&lt;=$D$2))</x:f>
        <x:v>12</x:v>
      </x:c>
      <x:c r="AC34" s="28" t="n">
        <x:f>SUMPRODUCT(--(P34:AA34="Ejecutado"),--(P$5:AA$5&lt;=$D$2))</x:f>
        <x:v>12</x:v>
      </x:c>
      <x:c r="AD34" s="75" t="n">
        <x:f>IF(AB34=0,0,AC34/AB34)</x:f>
        <x:v>1</x:v>
      </x:c>
      <x:c r="AE34" s="28" t="str">
        <x:f>IF(AD34=1,"Cumplida",IF(AD34&gt;=0.8,"Cumplida con ajustes",IF(AD34&gt;0,"En ejecución","Pendiente")))</x:f>
        <x:v>Cumplida</x:v>
      </x:c>
    </x:row>
    <x:row r="35" ht="20" customHeight="1">
      <x:c r="A35" s="28" t="str">
        <x:v>PAT-029</x:v>
      </x:c>
      <x:c r="B35" s="28" t="n">
        <x:v>2024</x:v>
      </x:c>
      <x:c r="C35" s="28" t="str">
        <x:v>Todas las sedes</x:v>
      </x:c>
      <x:c r="D35" s="28" t="str">
        <x:v>Verificar</x:v>
      </x:c>
      <x:c r="E35" s="28" t="str">
        <x:v>Evaluación del sistema</x:v>
      </x:c>
      <x:c r="F35" s="28" t="str">
        <x:v>Revisión final de estándares 0312</x:v>
      </x:c>
      <x:c r="G35" s="28" t="str">
        <x:v>Realizar evaluación de cierre del cumplimiento anual de estándares mínimos</x:v>
      </x:c>
      <x:c r="H35" s="28" t="str">
        <x:v>Medir avance anual del sistema</x:v>
      </x:c>
      <x:c r="I35" s="28" t="str">
        <x:v>1 evaluación de cierre ejecutada</x:v>
      </x:c>
      <x:c r="J35" s="28" t="str">
        <x:v>Resultado de autodiagnóstico de cierre</x:v>
      </x:c>
      <x:c r="K35" s="28" t="str">
        <x:v>Anual</x:v>
      </x:c>
      <x:c r="L35" s="28" t="str">
        <x:v>SST</x:v>
      </x:c>
      <x:c r="M35" s="73" t="n">
        <x:v>16</x:v>
      </x:c>
      <x:c r="N35" s="74" t="n">
        <x:v>1311400</x:v>
      </x:c>
      <x:c r="O35" s="28" t="str">
        <x:v>Autodiagnóstico</x:v>
      </x:c>
      <x:c r="P35" s="28" t="str"/>
      <x:c r="Q35" s="28" t="str"/>
      <x:c r="R35" s="28" t="str"/>
      <x:c r="S35" s="28" t="str"/>
      <x:c r="T35" s="28" t="str"/>
      <x:c r="U35" s="28" t="str"/>
      <x:c r="V35" s="28" t="str"/>
      <x:c r="W35" s="28" t="str"/>
      <x:c r="X35" s="28" t="str"/>
      <x:c r="Y35" s="28" t="str"/>
      <x:c r="Z35" s="28" t="str">
        <x:v>Ejecutado</x:v>
      </x:c>
      <x:c r="AA35" s="28" t="str"/>
      <x:c r="AB35" s="28" t="n">
        <x:f>SUMPRODUCT(--(P35:AA35&lt;&gt;""),--(P$5:AA$5&lt;=$D$2))</x:f>
        <x:v>1</x:v>
      </x:c>
      <x:c r="AC35" s="28" t="n">
        <x:f>SUMPRODUCT(--(P35:AA35="Ejecutado"),--(P$5:AA$5&lt;=$D$2))</x:f>
        <x:v>1</x:v>
      </x:c>
      <x:c r="AD35" s="75" t="n">
        <x:f>IF(AB35=0,0,AC35/AB35)</x:f>
        <x:v>1</x:v>
      </x:c>
      <x:c r="AE35" s="28" t="str">
        <x:f>IF(AD35=1,"Cumplida",IF(AD35&gt;=0.8,"Cumplida con ajustes",IF(AD35&gt;0,"En ejecución","Pendiente")))</x:f>
        <x:v>Cumplida</x:v>
      </x:c>
    </x:row>
    <x:row r="36" ht="20" customHeight="1">
      <x:c r="A36" s="28" t="str">
        <x:v>PAT-030</x:v>
      </x:c>
      <x:c r="B36" s="28" t="n">
        <x:v>2024</x:v>
      </x:c>
      <x:c r="C36" s="28" t="str">
        <x:v>Todas las sedes</x:v>
      </x:c>
      <x:c r="D36" s="28" t="str">
        <x:v>Actuar</x:v>
      </x:c>
      <x:c r="E36" s="28" t="str">
        <x:v>Dirección</x:v>
      </x:c>
      <x:c r="F36" s="28" t="str">
        <x:v>Revisión por la dirección</x:v>
      </x:c>
      <x:c r="G36" s="28" t="str">
        <x:v>Realizar revisión por la dirección del SG-SST con análisis de resultados y decisiones</x:v>
      </x:c>
      <x:c r="H36" s="28" t="str">
        <x:v>Definir acciones de mejora y recursos</x:v>
      </x:c>
      <x:c r="I36" s="28" t="str">
        <x:v>1 revisión por la dirección realizada</x:v>
      </x:c>
      <x:c r="J36" s="28" t="str">
        <x:v>Acta de revisión por la dirección</x:v>
      </x:c>
      <x:c r="K36" s="28" t="str">
        <x:v>Anual</x:v>
      </x:c>
      <x:c r="L36" s="28" t="str">
        <x:v>Gerencia / SST</x:v>
      </x:c>
      <x:c r="M36" s="73" t="n">
        <x:v>20</x:v>
      </x:c>
      <x:c r="N36" s="74" t="n">
        <x:v>1639200</x:v>
      </x:c>
      <x:c r="O36" s="28" t="str">
        <x:v>Informe ejecutivo</x:v>
      </x:c>
      <x:c r="P36" s="28" t="str"/>
      <x:c r="Q36" s="28" t="str"/>
      <x:c r="R36" s="28" t="str"/>
      <x:c r="S36" s="28" t="str"/>
      <x:c r="T36" s="28" t="str"/>
      <x:c r="U36" s="28" t="str"/>
      <x:c r="V36" s="28" t="str"/>
      <x:c r="W36" s="28" t="str"/>
      <x:c r="X36" s="28" t="str"/>
      <x:c r="Y36" s="28" t="str"/>
      <x:c r="Z36" s="28" t="str"/>
      <x:c r="AA36" s="28" t="str">
        <x:v>Ejecutado</x:v>
      </x:c>
      <x:c r="AB36" s="28" t="n">
        <x:f>SUMPRODUCT(--(P36:AA36&lt;&gt;""),--(P$5:AA$5&lt;=$D$2))</x:f>
        <x:v>1</x:v>
      </x:c>
      <x:c r="AC36" s="28" t="n">
        <x:f>SUMPRODUCT(--(P36:AA36="Ejecutado"),--(P$5:AA$5&lt;=$D$2))</x:f>
        <x:v>1</x:v>
      </x:c>
      <x:c r="AD36" s="75" t="n">
        <x:f>IF(AB36=0,0,AC36/AB36)</x:f>
        <x:v>1</x:v>
      </x:c>
      <x:c r="AE36" s="28" t="str">
        <x:f>IF(AD36=1,"Cumplida",IF(AD36&gt;=0.8,"Cumplida con ajustes",IF(AD36&gt;0,"En ejecución","Pendiente")))</x:f>
        <x:v>Cumplida</x:v>
      </x:c>
    </x:row>
    <x:row r="37" ht="20" customHeight="1">
      <x:c r="A37" s="28" t="str">
        <x:v>PAT-031</x:v>
      </x:c>
      <x:c r="B37" s="28" t="n">
        <x:v>2024</x:v>
      </x:c>
      <x:c r="C37" s="28" t="str">
        <x:v>Todas las sedes</x:v>
      </x:c>
      <x:c r="D37" s="28" t="str">
        <x:v>Actuar</x:v>
      </x:c>
      <x:c r="E37" s="28" t="str">
        <x:v>Mejora continua</x:v>
      </x:c>
      <x:c r="F37" s="28" t="str">
        <x:v>Plan de mejoramiento</x:v>
      </x:c>
      <x:c r="G37" s="28" t="str">
        <x:v>Actualizar y ejecutar el plan de mejoramiento del SG-SST</x:v>
      </x:c>
      <x:c r="H37" s="28" t="str">
        <x:v>Cerrar brechas identificadas</x:v>
      </x:c>
      <x:c r="I37" s="28" t="str">
        <x:v>12 seguimientos del plan</x:v>
      </x:c>
      <x:c r="J37" s="28" t="str">
        <x:v>% de acciones del plan ejecutadas</x:v>
      </x:c>
      <x:c r="K37" s="28" t="str">
        <x:v>Mensual</x:v>
      </x:c>
      <x:c r="L37" s="28" t="str">
        <x:v>SST / Líderes de proceso</x:v>
      </x:c>
      <x:c r="M37" s="73" t="n">
        <x:v>24</x:v>
      </x:c>
      <x:c r="N37" s="74" t="n">
        <x:v>2841300</x:v>
      </x:c>
      <x:c r="O37" s="28" t="str">
        <x:v>Matriz APCM</x:v>
      </x:c>
      <x:c r="P37" s="28" t="str">
        <x:v>Reprogramado</x:v>
      </x:c>
      <x:c r="Q37" s="28" t="str">
        <x:v>Ejecutado</x:v>
      </x:c>
      <x:c r="R37" s="28" t="str">
        <x:v>Ejecutado</x:v>
      </x:c>
      <x:c r="S37" s="28" t="str">
        <x:v>Ejecutado</x:v>
      </x:c>
      <x:c r="T37" s="28" t="str">
        <x:v>Ejecutado</x:v>
      </x:c>
      <x:c r="U37" s="28" t="str">
        <x:v>Ejecutado</x:v>
      </x:c>
      <x:c r="V37" s="28" t="str">
        <x:v>Ejecutado</x:v>
      </x:c>
      <x:c r="W37" s="28" t="str">
        <x:v>Ejecutado</x:v>
      </x:c>
      <x:c r="X37" s="28" t="str">
        <x:v>Ejecutado</x:v>
      </x:c>
      <x:c r="Y37" s="28" t="str">
        <x:v>Ejecutado</x:v>
      </x:c>
      <x:c r="Z37" s="28" t="str">
        <x:v>Ejecutado</x:v>
      </x:c>
      <x:c r="AA37" s="28" t="str">
        <x:v>Ejecutado</x:v>
      </x:c>
      <x:c r="AB37" s="28" t="n">
        <x:f>SUMPRODUCT(--(P37:AA37&lt;&gt;""),--(P$5:AA$5&lt;=$D$2))</x:f>
        <x:v>12</x:v>
      </x:c>
      <x:c r="AC37" s="28" t="n">
        <x:f>SUMPRODUCT(--(P37:AA37="Ejecutado"),--(P$5:AA$5&lt;=$D$2))</x:f>
        <x:v>11</x:v>
      </x:c>
      <x:c r="AD37" s="75" t="n">
        <x:f>IF(AB37=0,0,AC37/AB37)</x:f>
        <x:v>0.9166666666666666</x:v>
      </x:c>
      <x:c r="AE37" s="28" t="str">
        <x:f>IF(AD37=1,"Cumplida",IF(AD37&gt;=0.8,"Cumplida con ajustes",IF(AD37&gt;0,"En ejecución","Pendiente")))</x:f>
        <x:v>Cumplida con ajustes</x:v>
      </x:c>
    </x:row>
    <x:row r="38" ht="20" customHeight="1">
      <x:c r="A38" s="28" t="str">
        <x:v>PAT-032</x:v>
      </x:c>
      <x:c r="B38" s="28" t="n">
        <x:v>2024</x:v>
      </x:c>
      <x:c r="C38" s="28" t="str">
        <x:v>Todas las sedes</x:v>
      </x:c>
      <x:c r="D38" s="28" t="str">
        <x:v>Actuar</x:v>
      </x:c>
      <x:c r="E38" s="28" t="str">
        <x:v>Documentación</x:v>
      </x:c>
      <x:c r="F38" s="28" t="str">
        <x:v>Actualización documental</x:v>
      </x:c>
      <x:c r="G38" s="28" t="str">
        <x:v>Actualizar procedimientos, matrices y formatos derivados de auditorías, cambios o incidentes</x:v>
      </x:c>
      <x:c r="H38" s="28" t="str">
        <x:v>Mantener el sistema documentado y vigente</x:v>
      </x:c>
      <x:c r="I38" s="28" t="str">
        <x:v>2 ciclos de actualización documental</x:v>
      </x:c>
      <x:c r="J38" s="28" t="str">
        <x:v>% de documentos actualizados</x:v>
      </x:c>
      <x:c r="K38" s="28" t="str">
        <x:v>Semestral</x:v>
      </x:c>
      <x:c r="L38" s="28" t="str">
        <x:v>SST / Calidad</x:v>
      </x:c>
      <x:c r="M38" s="73" t="n">
        <x:v>18</x:v>
      </x:c>
      <x:c r="N38" s="74" t="n">
        <x:v>1420600</x:v>
      </x:c>
      <x:c r="O38" s="28" t="str">
        <x:v>Control documental</x:v>
      </x:c>
      <x:c r="P38" s="28" t="str"/>
      <x:c r="Q38" s="28" t="str"/>
      <x:c r="R38" s="28" t="str"/>
      <x:c r="S38" s="28" t="str"/>
      <x:c r="T38" s="28" t="str"/>
      <x:c r="U38" s="28" t="str">
        <x:v>Ejecutado</x:v>
      </x:c>
      <x:c r="V38" s="28" t="str"/>
      <x:c r="W38" s="28" t="str"/>
      <x:c r="X38" s="28" t="str"/>
      <x:c r="Y38" s="28" t="str"/>
      <x:c r="Z38" s="28" t="str"/>
      <x:c r="AA38" s="28" t="str">
        <x:v>Ejecutado</x:v>
      </x:c>
      <x:c r="AB38" s="28" t="n">
        <x:f>SUMPRODUCT(--(P38:AA38&lt;&gt;""),--(P$5:AA$5&lt;=$D$2))</x:f>
        <x:v>2</x:v>
      </x:c>
      <x:c r="AC38" s="28" t="n">
        <x:f>SUMPRODUCT(--(P38:AA38="Ejecutado"),--(P$5:AA$5&lt;=$D$2))</x:f>
        <x:v>2</x:v>
      </x:c>
      <x:c r="AD38" s="75" t="n">
        <x:f>IF(AB38=0,0,AC38/AB38)</x:f>
        <x:v>1</x:v>
      </x:c>
      <x:c r="AE38" s="28" t="str">
        <x:f>IF(AD38=1,"Cumplida",IF(AD38&gt;=0.8,"Cumplida con ajustes",IF(AD38&gt;0,"En ejecución","Pendiente")))</x:f>
        <x:v>Cumplida</x:v>
      </x:c>
    </x:row>
  </x:sheetData>
  <x:mergeCells>
    <x:mergeCell ref="A1:AE1"/>
  </x:mergeCells>
  <x:conditionalFormatting sqref="AD7:AD38">
    <x:cfRule type="colorScale" priority="1">
      <x:colorScale>
        <x:cfvo type="min"/>
        <x:cfvo type="percentile" val="50"/>
        <x:cfvo type="max"/>
        <x:color rgb="FDE2E1"/>
        <x:color rgb="FFF4CC"/>
        <x:color rgb="D9EAD3"/>
      </x:colorScale>
    </x:cfRule>
  </x:conditionalFormatting>
  <x:conditionalFormatting sqref="AE7:AE38">
    <x:cfRule type="expression" dxfId="8" priority="2">
      <x:formula>AE7="Cumplida"</x:formula>
    </x:cfRule>
    <x:cfRule type="expression" dxfId="9" priority="3">
      <x:formula>AE7="Cumplida con ajustes"</x:formula>
    </x:cfRule>
    <x:cfRule type="expression" dxfId="10" priority="4">
      <x:formula>AE7="En ejecución"</x:formula>
    </x:cfRule>
    <x:cfRule type="expression" dxfId="11" priority="5">
      <x:formula>AE7="Pendiente"</x:formula>
    </x:cfRule>
  </x:conditionalFormatting>
  <x:conditionalFormatting sqref="P7:AA38">
    <x:cfRule type="expression" dxfId="12" priority="6">
      <x:formula>P7="Ejecutado"</x:formula>
    </x:cfRule>
    <x:cfRule type="expression" dxfId="13" priority="7">
      <x:formula>P7="Planeado"</x:formula>
    </x:cfRule>
    <x:cfRule type="expression" dxfId="14" priority="8">
      <x:formula>P7="Reprogramado"</x:formula>
    </x:cfRule>
    <x:cfRule type="expression" dxfId="15" priority="9">
      <x:formula>P7="Cancelado"</x:formula>
    </x:cfRule>
  </x:conditionalFormatting>
  <x:dataValidations count="4">
    <x:dataValidation type="list" sqref="P7:AA38">
      <x:formula1>Catalogos!$A$4:$A$7</x:formula1>
    </x:dataValidation>
    <x:dataValidation type="list" sqref="D7:D38">
      <x:formula1>Catalogos!$C$4:$C$7</x:formula1>
    </x:dataValidation>
    <x:dataValidation type="list" sqref="K7:K38">
      <x:formula1>Catalogos!$E$4:$E$9</x:formula1>
    </x:dataValidation>
    <x:dataValidation type="list" sqref="C7:C38">
      <x:formula1>Catalogos!$G$4:$G$15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c4ff36fd0d461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8" hidden="0" customWidth="1"/>
    <x:col min="4" max="4" width="12" hidden="0" customWidth="1"/>
    <x:col min="5" max="5" width="18" hidden="0" customWidth="1"/>
    <x:col min="6" max="6" width="18" hidden="0" customWidth="1"/>
    <x:col min="7" max="7" width="28" hidden="0" customWidth="1"/>
    <x:col min="8" max="8" width="30" hidden="0" customWidth="1"/>
    <x:col min="9" max="9" width="22" hidden="0" customWidth="1"/>
    <x:col min="10" max="10" width="22" hidden="0" customWidth="1"/>
    <x:col min="11" max="11" width="11" hidden="0" customWidth="1"/>
    <x:col min="12" max="12" width="20" hidden="0" customWidth="1"/>
    <x:col min="13" max="13" width="13" hidden="0" customWidth="1"/>
    <x:col min="14" max="14" width="16" hidden="0" customWidth="1"/>
    <x:col min="15" max="15" width="22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4" hidden="0" customWidth="1"/>
    <x:col min="29" max="29" width="14" hidden="0" customWidth="1"/>
    <x:col min="30" max="30" width="14" hidden="0" customWidth="1"/>
    <x:col min="31" max="31" width="18" hidden="0" customWidth="1"/>
  </x:cols>
  <x:sheetData>
    <x:row r="1" ht="24" customHeight="1">
      <x:c r="A1" s="5" t="str">
        <x:v>Plan Anual de Trabajo SG-SST (PHVA) – 2025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</x:row>
    <x:row r="2">
      <x:c r="A2" s="49" t="str">
        <x:v>Año</x:v>
      </x:c>
      <x:c r="B2" s="28" t="n">
        <x:v>2025</x:v>
      </x:c>
      <x:c r="C2" s="49" t="str">
        <x:v>Mes de corte</x:v>
      </x:c>
      <x:c r="D2" s="28" t="n">
        <x:v>12</x:v>
      </x:c>
      <x:c r="E2" s="49" t="str">
        <x:v>Marco</x:v>
      </x:c>
      <x:c r="F2" s="28" t="str">
        <x:v>Decreto 1072 de 2015 + Resolución 0312 de 2019</x:v>
      </x:c>
    </x:row>
    <x:row r="3">
      <x:c r="A3" s="49" t="str">
        <x:v>Propósito</x:v>
      </x:c>
      <x:c r="B3" s="28" t="str">
        <x:v>Programar, ejecutar y controlar el SG-SST por ciclo PHVA.</x:v>
      </x:c>
      <x:c r="C3" s="49" t="str">
        <x:v>Alcance</x:v>
      </x:c>
      <x:c r="D3" s="28" t="str">
        <x:v>Metas, responsables, recursos y cronograma mensual.</x:v>
      </x:c>
      <x:c r="E3" s="49" t="str">
        <x:v>Criterio</x:v>
      </x:c>
      <x:c r="F3" s="28" t="str">
        <x:v>% cumplimiento a corte = ejecutadas / programadas a corte</x:v>
      </x:c>
    </x:row>
    <x:row r="5">
      <x:c r="P5" s="57" t="n">
        <x:v>1</x:v>
      </x:c>
      <x:c r="Q5" s="57" t="n">
        <x:v>2</x:v>
      </x:c>
      <x:c r="R5" s="57" t="n">
        <x:v>3</x:v>
      </x:c>
      <x:c r="S5" s="57" t="n">
        <x:v>4</x:v>
      </x:c>
      <x:c r="T5" s="57" t="n">
        <x:v>5</x:v>
      </x:c>
      <x:c r="U5" s="57" t="n">
        <x:v>6</x:v>
      </x:c>
      <x:c r="V5" s="57" t="n">
        <x:v>7</x:v>
      </x:c>
      <x:c r="W5" s="57" t="n">
        <x:v>8</x:v>
      </x:c>
      <x:c r="X5" s="57" t="n">
        <x:v>9</x:v>
      </x:c>
      <x:c r="Y5" s="57" t="n">
        <x:v>10</x:v>
      </x:c>
      <x:c r="Z5" s="57" t="n">
        <x:v>11</x:v>
      </x:c>
      <x:c r="AA5" s="57" t="n">
        <x:v>12</x:v>
      </x:c>
    </x:row>
    <x:row r="6" ht="36" customHeight="1">
      <x:c r="A6" s="62" t="str">
        <x:v>Código</x:v>
      </x:c>
      <x:c r="B6" s="62" t="str">
        <x:v>Año</x:v>
      </x:c>
      <x:c r="C6" s="62" t="str">
        <x:v>Sede/Cobertura</x:v>
      </x:c>
      <x:c r="D6" s="62" t="str">
        <x:v>Ciclo PHVA</x:v>
      </x:c>
      <x:c r="E6" s="62" t="str">
        <x:v>Componente SG-SST</x:v>
      </x:c>
      <x:c r="F6" s="62" t="str">
        <x:v>Estándar / Requisito</x:v>
      </x:c>
      <x:c r="G6" s="62" t="str">
        <x:v>Actividad</x:v>
      </x:c>
      <x:c r="H6" s="62" t="str">
        <x:v>Objetivo</x:v>
      </x:c>
      <x:c r="I6" s="62" t="str">
        <x:v>Meta</x:v>
      </x:c>
      <x:c r="J6" s="62" t="str">
        <x:v>Indicador</x:v>
      </x:c>
      <x:c r="K6" s="62" t="str">
        <x:v>Frecuencia</x:v>
      </x:c>
      <x:c r="L6" s="62" t="str">
        <x:v>Responsable</x:v>
      </x:c>
      <x:c r="M6" s="62" t="str">
        <x:v>Rec. humanos (HH)</x:v>
      </x:c>
      <x:c r="N6" s="62" t="str">
        <x:v>Rec. financieros estimados (COP)</x:v>
      </x:c>
      <x:c r="O6" s="62" t="str">
        <x:v>Rec. tecnológicos</x:v>
      </x:c>
      <x:c r="P6" s="62" t="str">
        <x:v>Ene</x:v>
      </x:c>
      <x:c r="Q6" s="62" t="str">
        <x:v>Feb</x:v>
      </x:c>
      <x:c r="R6" s="62" t="str">
        <x:v>Mar</x:v>
      </x:c>
      <x:c r="S6" s="62" t="str">
        <x:v>Abr</x:v>
      </x:c>
      <x:c r="T6" s="62" t="str">
        <x:v>May</x:v>
      </x:c>
      <x:c r="U6" s="62" t="str">
        <x:v>Jun</x:v>
      </x:c>
      <x:c r="V6" s="62" t="str">
        <x:v>Jul</x:v>
      </x:c>
      <x:c r="W6" s="62" t="str">
        <x:v>Ago</x:v>
      </x:c>
      <x:c r="X6" s="62" t="str">
        <x:v>Sep</x:v>
      </x:c>
      <x:c r="Y6" s="62" t="str">
        <x:v>Oct</x:v>
      </x:c>
      <x:c r="Z6" s="62" t="str">
        <x:v>Nov</x:v>
      </x:c>
      <x:c r="AA6" s="62" t="str">
        <x:v>Dic</x:v>
      </x:c>
      <x:c r="AB6" s="62" t="str">
        <x:v>Programadas a corte</x:v>
      </x:c>
      <x:c r="AC6" s="62" t="str">
        <x:v>Ejecutadas a corte</x:v>
      </x:c>
      <x:c r="AD6" s="62" t="str">
        <x:v>% Cumplimiento a corte</x:v>
      </x:c>
      <x:c r="AE6" s="62" t="str">
        <x:v>Estado general</x:v>
      </x:c>
    </x:row>
    <x:row r="7" ht="20" customHeight="1">
      <x:c r="A7" s="28" t="str">
        <x:v>PAT-001</x:v>
      </x:c>
      <x:c r="B7" s="28" t="n">
        <x:v>2025</x:v>
      </x:c>
      <x:c r="C7" s="28" t="str">
        <x:v>Todas las sedes</x:v>
      </x:c>
      <x:c r="D7" s="28" t="str">
        <x:v>Planear</x:v>
      </x:c>
      <x:c r="E7" s="28" t="str">
        <x:v>Política SST</x:v>
      </x:c>
      <x:c r="F7" s="28" t="str">
        <x:v>Política y compromiso</x:v>
      </x:c>
      <x:c r="G7" s="28" t="str">
        <x:v>Revisar y actualizar la política de SST</x:v>
      </x:c>
      <x:c r="H7" s="28" t="str">
        <x:v>Mantener vigente la política y comunicarla a toda la organización</x:v>
      </x:c>
      <x:c r="I7" s="28" t="str">
        <x:v>1 política revisada y divulgada</x:v>
      </x:c>
      <x:c r="J7" s="28" t="str">
        <x:v>Política actualizada y evidencias de divulgación</x:v>
      </x:c>
      <x:c r="K7" s="28" t="str">
        <x:v>Anual</x:v>
      </x:c>
      <x:c r="L7" s="28" t="str">
        <x:v>Gerencia / Líder SST</x:v>
      </x:c>
      <x:c r="M7" s="73" t="n">
        <x:v>16</x:v>
      </x:c>
      <x:c r="N7" s="74" t="n">
        <x:v>1379600</x:v>
      </x:c>
      <x:c r="O7" s="28" t="str">
        <x:v>Google Drive, correo, cartelera</x:v>
      </x:c>
      <x:c r="P7" s="28" t="str">
        <x:v>Ejecutado</x:v>
      </x:c>
      <x:c r="Q7" s="28" t="str"/>
      <x:c r="R7" s="28" t="str"/>
      <x:c r="S7" s="28" t="str"/>
      <x:c r="T7" s="28" t="str"/>
      <x:c r="U7" s="28" t="str"/>
      <x:c r="V7" s="28" t="str"/>
      <x:c r="W7" s="28" t="str"/>
      <x:c r="X7" s="28" t="str"/>
      <x:c r="Y7" s="28" t="str"/>
      <x:c r="Z7" s="28" t="str"/>
      <x:c r="AA7" s="28" t="str"/>
      <x:c r="AB7" s="28" t="n">
        <x:f>SUMPRODUCT(--(P7:AA7&lt;&gt;""),--(P$5:AA$5&lt;=$D$2))</x:f>
        <x:v>1</x:v>
      </x:c>
      <x:c r="AC7" s="28" t="n">
        <x:f>SUMPRODUCT(--(P7:AA7="Ejecutado"),--(P$5:AA$5&lt;=$D$2))</x:f>
        <x:v>1</x:v>
      </x:c>
      <x:c r="AD7" s="75" t="n">
        <x:f>IF(AB7=0,0,AC7/AB7)</x:f>
        <x:v>1</x:v>
      </x:c>
      <x:c r="AE7" s="28" t="str">
        <x:f>IF(AD7=1,"Cumplida",IF(AD7&gt;=0.8,"Cumplida con ajustes",IF(AD7&gt;0,"En ejecución","Pendiente")))</x:f>
        <x:v>Cumplida</x:v>
      </x:c>
    </x:row>
    <x:row r="8" ht="20" customHeight="1">
      <x:c r="A8" s="28" t="str">
        <x:v>PAT-002</x:v>
      </x:c>
      <x:c r="B8" s="28" t="n">
        <x:v>2025</x:v>
      </x:c>
      <x:c r="C8" s="28" t="str">
        <x:v>Todas las sedes</x:v>
      </x:c>
      <x:c r="D8" s="28" t="str">
        <x:v>Planear</x:v>
      </x:c>
      <x:c r="E8" s="28" t="str">
        <x:v>Objetivos e indicadores</x:v>
      </x:c>
      <x:c r="F8" s="28" t="str">
        <x:v>Objetivos y metas</x:v>
      </x:c>
      <x:c r="G8" s="28" t="str">
        <x:v>Definir objetivos, metas e indicadores anuales del SG-SST</x:v>
      </x:c>
      <x:c r="H8" s="28" t="str">
        <x:v>Alinear la gestión SST con metas medibles</x:v>
      </x:c>
      <x:c r="I8" s="28" t="str">
        <x:v>1 matriz de objetivos e indicadores aprobada</x:v>
      </x:c>
      <x:c r="J8" s="28" t="str">
        <x:v>Matriz de objetivos e indicadores aprobada</x:v>
      </x:c>
      <x:c r="K8" s="28" t="str">
        <x:v>Anual</x:v>
      </x:c>
      <x:c r="L8" s="28" t="str">
        <x:v>Gerencia / Líder SST</x:v>
      </x:c>
      <x:c r="M8" s="73" t="n">
        <x:v>20</x:v>
      </x:c>
      <x:c r="N8" s="74" t="n">
        <x:v>1724400</x:v>
      </x:c>
      <x:c r="O8" s="28" t="str">
        <x:v>Excel / Sheets</x:v>
      </x:c>
      <x:c r="P8" s="28" t="str">
        <x:v>Ejecutado</x:v>
      </x:c>
      <x:c r="Q8" s="28" t="str"/>
      <x:c r="R8" s="28" t="str"/>
      <x:c r="S8" s="28" t="str"/>
      <x:c r="T8" s="28" t="str"/>
      <x:c r="U8" s="28" t="str"/>
      <x:c r="V8" s="28" t="str"/>
      <x:c r="W8" s="28" t="str"/>
      <x:c r="X8" s="28" t="str"/>
      <x:c r="Y8" s="28" t="str"/>
      <x:c r="Z8" s="28" t="str"/>
      <x:c r="AA8" s="28" t="str"/>
      <x:c r="AB8" s="28" t="n">
        <x:f>SUMPRODUCT(--(P8:AA8&lt;&gt;""),--(P$5:AA$5&lt;=$D$2))</x:f>
        <x:v>1</x:v>
      </x:c>
      <x:c r="AC8" s="28" t="n">
        <x:f>SUMPRODUCT(--(P8:AA8="Ejecutado"),--(P$5:AA$5&lt;=$D$2))</x:f>
        <x:v>1</x:v>
      </x:c>
      <x:c r="AD8" s="75" t="n">
        <x:f>IF(AB8=0,0,AC8/AB8)</x:f>
        <x:v>1</x:v>
      </x:c>
      <x:c r="AE8" s="28" t="str">
        <x:f>IF(AD8=1,"Cumplida",IF(AD8&gt;=0.8,"Cumplida con ajustes",IF(AD8&gt;0,"En ejecución","Pendiente")))</x:f>
        <x:v>Cumplida</x:v>
      </x:c>
    </x:row>
    <x:row r="9" ht="20" customHeight="1">
      <x:c r="A9" s="28" t="str">
        <x:v>PAT-003</x:v>
      </x:c>
      <x:c r="B9" s="28" t="n">
        <x:v>2025</x:v>
      </x:c>
      <x:c r="C9" s="28" t="str">
        <x:v>Todas las sedes</x:v>
      </x:c>
      <x:c r="D9" s="28" t="str">
        <x:v>Planear</x:v>
      </x:c>
      <x:c r="E9" s="28" t="str">
        <x:v>Recursos</x:v>
      </x:c>
      <x:c r="F9" s="28" t="str">
        <x:v>Asignación de recursos</x:v>
      </x:c>
      <x:c r="G9" s="28" t="str">
        <x:v>Aprobar y socializar la asignación de recursos del SG-SST</x:v>
      </x:c>
      <x:c r="H9" s="28" t="str">
        <x:v>Garantizar recursos humanos, físicos, tecnológicos y financieros</x:v>
      </x:c>
      <x:c r="I9" s="28" t="str">
        <x:v>1 presupuesto SST aprobado</x:v>
      </x:c>
      <x:c r="J9" s="28" t="str">
        <x:v>Presupuesto SST aprobado y comunicado</x:v>
      </x:c>
      <x:c r="K9" s="28" t="str">
        <x:v>Anual</x:v>
      </x:c>
      <x:c r="L9" s="28" t="str">
        <x:v>Gerencia / Financiera / Líder SST</x:v>
      </x:c>
      <x:c r="M9" s="73" t="n">
        <x:v>12</x:v>
      </x:c>
      <x:c r="N9" s="74" t="n">
        <x:v>919700</x:v>
      </x:c>
      <x:c r="O9" s="28" t="str">
        <x:v>Presupuesto SST</x:v>
      </x:c>
      <x:c r="P9" s="28" t="str">
        <x:v>Ejecutado</x:v>
      </x:c>
      <x:c r="Q9" s="28" t="str"/>
      <x:c r="R9" s="28" t="str"/>
      <x:c r="S9" s="28" t="str"/>
      <x:c r="T9" s="28" t="str"/>
      <x:c r="U9" s="28" t="str"/>
      <x:c r="V9" s="28" t="str"/>
      <x:c r="W9" s="28" t="str"/>
      <x:c r="X9" s="28" t="str"/>
      <x:c r="Y9" s="28" t="str"/>
      <x:c r="Z9" s="28" t="str"/>
      <x:c r="AA9" s="28" t="str"/>
      <x:c r="AB9" s="28" t="n">
        <x:f>SUMPRODUCT(--(P9:AA9&lt;&gt;""),--(P$5:AA$5&lt;=$D$2))</x:f>
        <x:v>1</x:v>
      </x:c>
      <x:c r="AC9" s="28" t="n">
        <x:f>SUMPRODUCT(--(P9:AA9="Ejecutado"),--(P$5:AA$5&lt;=$D$2))</x:f>
        <x:v>1</x:v>
      </x:c>
      <x:c r="AD9" s="75" t="n">
        <x:f>IF(AB9=0,0,AC9/AB9)</x:f>
        <x:v>1</x:v>
      </x:c>
      <x:c r="AE9" s="28" t="str">
        <x:f>IF(AD9=1,"Cumplida",IF(AD9&gt;=0.8,"Cumplida con ajustes",IF(AD9&gt;0,"En ejecución","Pendiente")))</x:f>
        <x:v>Cumplida</x:v>
      </x:c>
    </x:row>
    <x:row r="10" ht="20" customHeight="1">
      <x:c r="A10" s="28" t="str">
        <x:v>PAT-004</x:v>
      </x:c>
      <x:c r="B10" s="28" t="n">
        <x:v>2025</x:v>
      </x:c>
      <x:c r="C10" s="28" t="str">
        <x:v>Todas las sedes</x:v>
      </x:c>
      <x:c r="D10" s="28" t="str">
        <x:v>Planear</x:v>
      </x:c>
      <x:c r="E10" s="28" t="str">
        <x:v>Evaluación inicial</x:v>
      </x:c>
      <x:c r="F10" s="28" t="str">
        <x:v>Autoevaluación de estándares</x:v>
      </x:c>
      <x:c r="G10" s="28" t="str">
        <x:v>Aplicar autodiagnóstico de estándares mínimos de la Resolución 0312 de 2019</x:v>
      </x:c>
      <x:c r="H10" s="28" t="str">
        <x:v>Establecer la línea base anual del SG-SST</x:v>
      </x:c>
      <x:c r="I10" s="28" t="str">
        <x:v>1 autodiagnóstico aplicado</x:v>
      </x:c>
      <x:c r="J10" s="28" t="str">
        <x:v>Puntaje de estándares mínimos evaluado</x:v>
      </x:c>
      <x:c r="K10" s="28" t="str">
        <x:v>Anual</x:v>
      </x:c>
      <x:c r="L10" s="28" t="str">
        <x:v>Líder SST</x:v>
      </x:c>
      <x:c r="M10" s="73" t="n">
        <x:v>24</x:v>
      </x:c>
      <x:c r="N10" s="74" t="n">
        <x:v>2069300</x:v>
      </x:c>
      <x:c r="O10" s="28" t="str">
        <x:v>Formato autodiagnóstico</x:v>
      </x:c>
      <x:c r="P10" s="28" t="str"/>
      <x:c r="Q10" s="28" t="str">
        <x:v>Ejecutado</x:v>
      </x:c>
      <x:c r="R10" s="28" t="str"/>
      <x:c r="S10" s="28" t="str"/>
      <x:c r="T10" s="28" t="str"/>
      <x:c r="U10" s="28" t="str"/>
      <x:c r="V10" s="28" t="str"/>
      <x:c r="W10" s="28" t="str"/>
      <x:c r="X10" s="28" t="str"/>
      <x:c r="Y10" s="28" t="str"/>
      <x:c r="Z10" s="28" t="str"/>
      <x:c r="AA10" s="28" t="str"/>
      <x:c r="AB10" s="28" t="n">
        <x:f>SUMPRODUCT(--(P10:AA10&lt;&gt;""),--(P$5:AA$5&lt;=$D$2))</x:f>
        <x:v>1</x:v>
      </x:c>
      <x:c r="AC10" s="28" t="n">
        <x:f>SUMPRODUCT(--(P10:AA10="Ejecutado"),--(P$5:AA$5&lt;=$D$2))</x:f>
        <x:v>1</x:v>
      </x:c>
      <x:c r="AD10" s="75" t="n">
        <x:f>IF(AB10=0,0,AC10/AB10)</x:f>
        <x:v>1</x:v>
      </x:c>
      <x:c r="AE10" s="28" t="str">
        <x:f>IF(AD10=1,"Cumplida",IF(AD10&gt;=0.8,"Cumplida con ajustes",IF(AD10&gt;0,"En ejecución","Pendiente")))</x:f>
        <x:v>Cumplida</x:v>
      </x:c>
    </x:row>
    <x:row r="11" ht="20" customHeight="1">
      <x:c r="A11" s="28" t="str">
        <x:v>PAT-005</x:v>
      </x:c>
      <x:c r="B11" s="28" t="n">
        <x:v>2025</x:v>
      </x:c>
      <x:c r="C11" s="28" t="str">
        <x:v>Todas las sedes</x:v>
      </x:c>
      <x:c r="D11" s="28" t="str">
        <x:v>Planear</x:v>
      </x:c>
      <x:c r="E11" s="28" t="str">
        <x:v>Planificación anual</x:v>
      </x:c>
      <x:c r="F11" s="28" t="str">
        <x:v>Plan anual de trabajo</x:v>
      </x:c>
      <x:c r="G11" s="28" t="str">
        <x:v>Diseñar, aprobar y publicar el plan anual de trabajo del SG-SST</x:v>
      </x:c>
      <x:c r="H11" s="28" t="str">
        <x:v>Planificar actividades, metas, cronograma y responsables</x:v>
      </x:c>
      <x:c r="I11" s="28" t="str">
        <x:v>1 plan anual aprobado</x:v>
      </x:c>
      <x:c r="J11" s="28" t="str">
        <x:v>Plan anual aprobado y publicado</x:v>
      </x:c>
      <x:c r="K11" s="28" t="str">
        <x:v>Anual</x:v>
      </x:c>
      <x:c r="L11" s="28" t="str">
        <x:v>Líder SST / Gerencia</x:v>
      </x:c>
      <x:c r="M11" s="73" t="n">
        <x:v>18</x:v>
      </x:c>
      <x:c r="N11" s="74" t="n">
        <x:v>1149600</x:v>
      </x:c>
      <x:c r="O11" s="28" t="str">
        <x:v>Sheets / cronograma</x:v>
      </x:c>
      <x:c r="P11" s="28" t="str">
        <x:v>Ejecutado</x:v>
      </x:c>
      <x:c r="Q11" s="28" t="str"/>
      <x:c r="R11" s="28" t="str"/>
      <x:c r="S11" s="28" t="str"/>
      <x:c r="T11" s="28" t="str"/>
      <x:c r="U11" s="28" t="str"/>
      <x:c r="V11" s="28" t="str"/>
      <x:c r="W11" s="28" t="str"/>
      <x:c r="X11" s="28" t="str"/>
      <x:c r="Y11" s="28" t="str"/>
      <x:c r="Z11" s="28" t="str"/>
      <x:c r="AA11" s="28" t="str"/>
      <x:c r="AB11" s="28" t="n">
        <x:f>SUMPRODUCT(--(P11:AA11&lt;&gt;""),--(P$5:AA$5&lt;=$D$2))</x:f>
        <x:v>1</x:v>
      </x:c>
      <x:c r="AC11" s="28" t="n">
        <x:f>SUMPRODUCT(--(P11:AA11="Ejecutado"),--(P$5:AA$5&lt;=$D$2))</x:f>
        <x:v>1</x:v>
      </x:c>
      <x:c r="AD11" s="75" t="n">
        <x:f>IF(AB11=0,0,AC11/AB11)</x:f>
        <x:v>1</x:v>
      </x:c>
      <x:c r="AE11" s="28" t="str">
        <x:f>IF(AD11=1,"Cumplida",IF(AD11&gt;=0.8,"Cumplida con ajustes",IF(AD11&gt;0,"En ejecución","Pendiente")))</x:f>
        <x:v>Cumplida</x:v>
      </x:c>
    </x:row>
    <x:row r="12" ht="20" customHeight="1">
      <x:c r="A12" s="28" t="str">
        <x:v>PAT-006</x:v>
      </x:c>
      <x:c r="B12" s="28" t="n">
        <x:v>2025</x:v>
      </x:c>
      <x:c r="C12" s="28" t="str">
        <x:v>Todas las sedes</x:v>
      </x:c>
      <x:c r="D12" s="28" t="str">
        <x:v>Planear</x:v>
      </x:c>
      <x:c r="E12" s="28" t="str">
        <x:v>Requisitos legales</x:v>
      </x:c>
      <x:c r="F12" s="28" t="str">
        <x:v>Matriz legal</x:v>
      </x:c>
      <x:c r="G12" s="28" t="str">
        <x:v>Actualizar la matriz legal aplicable en SST</x:v>
      </x:c>
      <x:c r="H12" s="28" t="str">
        <x:v>Mantener identificados y evaluados los requisitos legales</x:v>
      </x:c>
      <x:c r="I12" s="28" t="str">
        <x:v>2 actualizaciones anuales</x:v>
      </x:c>
      <x:c r="J12" s="28" t="str">
        <x:v>% de requisitos legales actualizados</x:v>
      </x:c>
      <x:c r="K12" s="28" t="str">
        <x:v>Semestral</x:v>
      </x:c>
      <x:c r="L12" s="28" t="str">
        <x:v>Líder SST / Jurídica</x:v>
      </x:c>
      <x:c r="M12" s="73" t="n">
        <x:v>20</x:v>
      </x:c>
      <x:c r="N12" s="74" t="n">
        <x:v>2299300</x:v>
      </x:c>
      <x:c r="O12" s="28" t="str">
        <x:v>Matriz legal</x:v>
      </x:c>
      <x:c r="P12" s="28" t="str"/>
      <x:c r="Q12" s="28" t="str"/>
      <x:c r="R12" s="28" t="str">
        <x:v>Ejecutado</x:v>
      </x:c>
      <x:c r="S12" s="28" t="str"/>
      <x:c r="T12" s="28" t="str"/>
      <x:c r="U12" s="28" t="str"/>
      <x:c r="V12" s="28" t="str"/>
      <x:c r="W12" s="28" t="str"/>
      <x:c r="X12" s="28" t="str">
        <x:v>Ejecutado</x:v>
      </x:c>
      <x:c r="Y12" s="28" t="str"/>
      <x:c r="Z12" s="28" t="str"/>
      <x:c r="AA12" s="28" t="str"/>
      <x:c r="AB12" s="28" t="n">
        <x:f>SUMPRODUCT(--(P12:AA12&lt;&gt;""),--(P$5:AA$5&lt;=$D$2))</x:f>
        <x:v>2</x:v>
      </x:c>
      <x:c r="AC12" s="28" t="n">
        <x:f>SUMPRODUCT(--(P12:AA12="Ejecutado"),--(P$5:AA$5&lt;=$D$2))</x:f>
        <x:v>2</x:v>
      </x:c>
      <x:c r="AD12" s="75" t="n">
        <x:f>IF(AB12=0,0,AC12/AB12)</x:f>
        <x:v>1</x:v>
      </x:c>
      <x:c r="AE12" s="28" t="str">
        <x:f>IF(AD12=1,"Cumplida",IF(AD12&gt;=0.8,"Cumplida con ajustes",IF(AD12&gt;0,"En ejecución","Pendiente")))</x:f>
        <x:v>Cumplida</x:v>
      </x:c>
    </x:row>
    <x:row r="13" ht="20" customHeight="1">
      <x:c r="A13" s="28" t="str">
        <x:v>PAT-007</x:v>
      </x:c>
      <x:c r="B13" s="28" t="n">
        <x:v>2025</x:v>
      </x:c>
      <x:c r="C13" s="28" t="str">
        <x:v>Todas las sedes</x:v>
      </x:c>
      <x:c r="D13" s="28" t="str">
        <x:v>Planear</x:v>
      </x:c>
      <x:c r="E13" s="28" t="str">
        <x:v>Capacitación</x:v>
      </x:c>
      <x:c r="F13" s="28" t="str">
        <x:v>Plan de formación</x:v>
      </x:c>
      <x:c r="G13" s="28" t="str">
        <x:v>Definir y aprobar el plan anual de formación y capacitaciones en SST</x:v>
      </x:c>
      <x:c r="H13" s="28" t="str">
        <x:v>Garantizar competencias del personal</x:v>
      </x:c>
      <x:c r="I13" s="28" t="str">
        <x:v>1 plan de formación aprobado</x:v>
      </x:c>
      <x:c r="J13" s="28" t="str">
        <x:v>Plan anual de formación aprobado</x:v>
      </x:c>
      <x:c r="K13" s="28" t="str">
        <x:v>Anual</x:v>
      </x:c>
      <x:c r="L13" s="28" t="str">
        <x:v>Líder SST / Talento Humano</x:v>
      </x:c>
      <x:c r="M13" s="73" t="n">
        <x:v>12</x:v>
      </x:c>
      <x:c r="N13" s="74" t="n">
        <x:v>1034700</x:v>
      </x:c>
      <x:c r="O13" s="28" t="str">
        <x:v>Plan de formación</x:v>
      </x:c>
      <x:c r="P13" s="28" t="str">
        <x:v>Ejecutado</x:v>
      </x:c>
      <x:c r="Q13" s="28" t="str"/>
      <x:c r="R13" s="28" t="str"/>
      <x:c r="S13" s="28" t="str"/>
      <x:c r="T13" s="28" t="str"/>
      <x:c r="U13" s="28" t="str"/>
      <x:c r="V13" s="28" t="str"/>
      <x:c r="W13" s="28" t="str"/>
      <x:c r="X13" s="28" t="str"/>
      <x:c r="Y13" s="28" t="str"/>
      <x:c r="Z13" s="28" t="str"/>
      <x:c r="AA13" s="28" t="str"/>
      <x:c r="AB13" s="28" t="n">
        <x:f>SUMPRODUCT(--(P13:AA13&lt;&gt;""),--(P$5:AA$5&lt;=$D$2))</x:f>
        <x:v>1</x:v>
      </x:c>
      <x:c r="AC13" s="28" t="n">
        <x:f>SUMPRODUCT(--(P13:AA13="Ejecutado"),--(P$5:AA$5&lt;=$D$2))</x:f>
        <x:v>1</x:v>
      </x:c>
      <x:c r="AD13" s="75" t="n">
        <x:f>IF(AB13=0,0,AC13/AB13)</x:f>
        <x:v>1</x:v>
      </x:c>
      <x:c r="AE13" s="28" t="str">
        <x:f>IF(AD13=1,"Cumplida",IF(AD13&gt;=0.8,"Cumplida con ajustes",IF(AD13&gt;0,"En ejecución","Pendiente")))</x:f>
        <x:v>Cumplida</x:v>
      </x:c>
    </x:row>
    <x:row r="14" ht="20" customHeight="1">
      <x:c r="A14" s="28" t="str">
        <x:v>PAT-008</x:v>
      </x:c>
      <x:c r="B14" s="28" t="n">
        <x:v>2025</x:v>
      </x:c>
      <x:c r="C14" s="28" t="str">
        <x:v>Todas las sedes</x:v>
      </x:c>
      <x:c r="D14" s="28" t="str">
        <x:v>Planear</x:v>
      </x:c>
      <x:c r="E14" s="28" t="str">
        <x:v>Participación</x:v>
      </x:c>
      <x:c r="F14" s="28" t="str">
        <x:v>COPASST y CCL</x:v>
      </x:c>
      <x:c r="G14" s="28" t="str">
        <x:v>Establecer cronograma anual de reuniones de COPASST y Comité de Convivencia Laboral</x:v>
      </x:c>
      <x:c r="H14" s="28" t="str">
        <x:v>Asegurar la participación de los comités</x:v>
      </x:c>
      <x:c r="I14" s="28" t="str">
        <x:v>12 reuniones programadas por comité</x:v>
      </x:c>
      <x:c r="J14" s="28" t="str">
        <x:v>Cronograma de comités aprobado</x:v>
      </x:c>
      <x:c r="K14" s="28" t="str">
        <x:v>Anual</x:v>
      </x:c>
      <x:c r="L14" s="28" t="str">
        <x:v>Líder SST / Talento Humano</x:v>
      </x:c>
      <x:c r="M14" s="73" t="n">
        <x:v>10</x:v>
      </x:c>
      <x:c r="N14" s="74" t="n">
        <x:v>574800</x:v>
      </x:c>
      <x:c r="O14" s="28" t="str">
        <x:v>Calendario institucional</x:v>
      </x:c>
      <x:c r="P14" s="28" t="str">
        <x:v>Ejecutado</x:v>
      </x:c>
      <x:c r="Q14" s="28" t="str"/>
      <x:c r="R14" s="28" t="str"/>
      <x:c r="S14" s="28" t="str"/>
      <x:c r="T14" s="28" t="str"/>
      <x:c r="U14" s="28" t="str"/>
      <x:c r="V14" s="28" t="str"/>
      <x:c r="W14" s="28" t="str"/>
      <x:c r="X14" s="28" t="str"/>
      <x:c r="Y14" s="28" t="str"/>
      <x:c r="Z14" s="28" t="str"/>
      <x:c r="AA14" s="28" t="str"/>
      <x:c r="AB14" s="28" t="n">
        <x:f>SUMPRODUCT(--(P14:AA14&lt;&gt;""),--(P$5:AA$5&lt;=$D$2))</x:f>
        <x:v>1</x:v>
      </x:c>
      <x:c r="AC14" s="28" t="n">
        <x:f>SUMPRODUCT(--(P14:AA14="Ejecutado"),--(P$5:AA$5&lt;=$D$2))</x:f>
        <x:v>1</x:v>
      </x:c>
      <x:c r="AD14" s="75" t="n">
        <x:f>IF(AB14=0,0,AC14/AB14)</x:f>
        <x:v>1</x:v>
      </x:c>
      <x:c r="AE14" s="28" t="str">
        <x:f>IF(AD14=1,"Cumplida",IF(AD14&gt;=0.8,"Cumplida con ajustes",IF(AD14&gt;0,"En ejecución","Pendiente")))</x:f>
        <x:v>Cumplida</x:v>
      </x:c>
    </x:row>
    <x:row r="15" ht="20" customHeight="1">
      <x:c r="A15" s="28" t="str">
        <x:v>PAT-009</x:v>
      </x:c>
      <x:c r="B15" s="28" t="n">
        <x:v>2025</x:v>
      </x:c>
      <x:c r="C15" s="28" t="str">
        <x:v>Todas las sedes</x:v>
      </x:c>
      <x:c r="D15" s="28" t="str">
        <x:v>Planear</x:v>
      </x:c>
      <x:c r="E15" s="28" t="str">
        <x:v>Emergencias</x:v>
      </x:c>
      <x:c r="F15" s="28" t="str">
        <x:v>Plan de emergencias</x:v>
      </x:c>
      <x:c r="G15" s="28" t="str">
        <x:v>Revisar y actualizar el plan de prevención, preparación y respuesta ante emergencias</x:v>
      </x:c>
      <x:c r="H15" s="28" t="str">
        <x:v>Asegurar respuesta efectiva ante emergencias</x:v>
      </x:c>
      <x:c r="I15" s="28" t="str">
        <x:v>1 plan de emergencias actualizado</x:v>
      </x:c>
      <x:c r="J15" s="28" t="str">
        <x:v>Plan actualizado y divulgado</x:v>
      </x:c>
      <x:c r="K15" s="28" t="str">
        <x:v>Anual</x:v>
      </x:c>
      <x:c r="L15" s="28" t="str">
        <x:v>Líder SST / Brigada</x:v>
      </x:c>
      <x:c r="M15" s="73" t="n">
        <x:v>24</x:v>
      </x:c>
      <x:c r="N15" s="74" t="n">
        <x:v>2874100</x:v>
      </x:c>
      <x:c r="O15" s="28" t="str">
        <x:v>Plan de emergencias</x:v>
      </x:c>
      <x:c r="P15" s="28" t="str"/>
      <x:c r="Q15" s="28" t="str">
        <x:v>Ejecutado</x:v>
      </x:c>
      <x:c r="R15" s="28" t="str"/>
      <x:c r="S15" s="28" t="str"/>
      <x:c r="T15" s="28" t="str"/>
      <x:c r="U15" s="28" t="str"/>
      <x:c r="V15" s="28" t="str"/>
      <x:c r="W15" s="28" t="str"/>
      <x:c r="X15" s="28" t="str"/>
      <x:c r="Y15" s="28" t="str"/>
      <x:c r="Z15" s="28" t="str"/>
      <x:c r="AA15" s="28" t="str"/>
      <x:c r="AB15" s="28" t="n">
        <x:f>SUMPRODUCT(--(P15:AA15&lt;&gt;""),--(P$5:AA$5&lt;=$D$2))</x:f>
        <x:v>1</x:v>
      </x:c>
      <x:c r="AC15" s="28" t="n">
        <x:f>SUMPRODUCT(--(P15:AA15="Ejecutado"),--(P$5:AA$5&lt;=$D$2))</x:f>
        <x:v>1</x:v>
      </x:c>
      <x:c r="AD15" s="75" t="n">
        <x:f>IF(AB15=0,0,AC15/AB15)</x:f>
        <x:v>1</x:v>
      </x:c>
      <x:c r="AE15" s="28" t="str">
        <x:f>IF(AD15=1,"Cumplida",IF(AD15&gt;=0.8,"Cumplida con ajustes",IF(AD15&gt;0,"En ejecución","Pendiente")))</x:f>
        <x:v>Cumplida</x:v>
      </x:c>
    </x:row>
    <x:row r="16" ht="20" customHeight="1">
      <x:c r="A16" s="28" t="str">
        <x:v>PAT-010</x:v>
      </x:c>
      <x:c r="B16" s="28" t="n">
        <x:v>2025</x:v>
      </x:c>
      <x:c r="C16" s="28" t="str">
        <x:v>Todas las sedes</x:v>
      </x:c>
      <x:c r="D16" s="28" t="str">
        <x:v>Planear</x:v>
      </x:c>
      <x:c r="E16" s="28" t="str">
        <x:v>Contratistas</x:v>
      </x:c>
      <x:c r="F16" s="28" t="str">
        <x:v>Gestión de contratistas</x:v>
      </x:c>
      <x:c r="G16" s="28" t="str">
        <x:v>Definir cronograma anual de verificación SST a contratistas y proveedores</x:v>
      </x:c>
      <x:c r="H16" s="28" t="str">
        <x:v>Controlar el cumplimiento SST de terceros</x:v>
      </x:c>
      <x:c r="I16" s="28" t="str">
        <x:v>4 ciclos de verificación programados</x:v>
      </x:c>
      <x:c r="J16" s="28" t="str">
        <x:v>Cronograma de evaluación aprobado</x:v>
      </x:c>
      <x:c r="K16" s="28" t="str">
        <x:v>Anual</x:v>
      </x:c>
      <x:c r="L16" s="28" t="str">
        <x:v>Líder SST / Compras</x:v>
      </x:c>
      <x:c r="M16" s="73" t="n">
        <x:v>10</x:v>
      </x:c>
      <x:c r="N16" s="74" t="n">
        <x:v>804700</x:v>
      </x:c>
      <x:c r="O16" s="28" t="str">
        <x:v>Matriz de proveedores</x:v>
      </x:c>
      <x:c r="P16" s="28" t="str"/>
      <x:c r="Q16" s="28" t="str">
        <x:v>Ejecutado</x:v>
      </x:c>
      <x:c r="R16" s="28" t="str"/>
      <x:c r="S16" s="28" t="str"/>
      <x:c r="T16" s="28" t="str"/>
      <x:c r="U16" s="28" t="str"/>
      <x:c r="V16" s="28" t="str"/>
      <x:c r="W16" s="28" t="str"/>
      <x:c r="X16" s="28" t="str"/>
      <x:c r="Y16" s="28" t="str"/>
      <x:c r="Z16" s="28" t="str"/>
      <x:c r="AA16" s="28" t="str"/>
      <x:c r="AB16" s="28" t="n">
        <x:f>SUMPRODUCT(--(P16:AA16&lt;&gt;""),--(P$5:AA$5&lt;=$D$2))</x:f>
        <x:v>1</x:v>
      </x:c>
      <x:c r="AC16" s="28" t="n">
        <x:f>SUMPRODUCT(--(P16:AA16="Ejecutado"),--(P$5:AA$5&lt;=$D$2))</x:f>
        <x:v>1</x:v>
      </x:c>
      <x:c r="AD16" s="75" t="n">
        <x:f>IF(AB16=0,0,AC16/AB16)</x:f>
        <x:v>1</x:v>
      </x:c>
      <x:c r="AE16" s="28" t="str">
        <x:f>IF(AD16=1,"Cumplida",IF(AD16&gt;=0.8,"Cumplida con ajustes",IF(AD16&gt;0,"En ejecución","Pendiente")))</x:f>
        <x:v>Cumplida</x:v>
      </x:c>
    </x:row>
    <x:row r="17" ht="20" customHeight="1">
      <x:c r="A17" s="28" t="str">
        <x:v>PAT-011</x:v>
      </x:c>
      <x:c r="B17" s="28" t="n">
        <x:v>2025</x:v>
      </x:c>
      <x:c r="C17" s="28" t="str">
        <x:v>Todas las sedes</x:v>
      </x:c>
      <x:c r="D17" s="28" t="str">
        <x:v>Hacer</x:v>
      </x:c>
      <x:c r="E17" s="28" t="str">
        <x:v>Capacitación</x:v>
      </x:c>
      <x:c r="F17" s="28" t="str">
        <x:v>Inducción y reinducción</x:v>
      </x:c>
      <x:c r="G17" s="28" t="str">
        <x:v>Ejecutar inducción y reinducción en SST al personal</x:v>
      </x:c>
      <x:c r="H17" s="28" t="str">
        <x:v>Fortalecer el conocimiento de peligros, controles y deberes</x:v>
      </x:c>
      <x:c r="I17" s="28" t="str">
        <x:v>12 jornadas ejecutadas</x:v>
      </x:c>
      <x:c r="J17" s="28" t="str">
        <x:v>% de personal capacitado</x:v>
      </x:c>
      <x:c r="K17" s="28" t="str">
        <x:v>Mensual</x:v>
      </x:c>
      <x:c r="L17" s="28" t="str">
        <x:v>Talento Humano / SST</x:v>
      </x:c>
      <x:c r="M17" s="73" t="n">
        <x:v>36</x:v>
      </x:c>
      <x:c r="N17" s="74" t="n">
        <x:v>4138700</x:v>
      </x:c>
      <x:c r="O17" s="28" t="str">
        <x:v>Forms / listas de asistencia</x:v>
      </x:c>
      <x:c r="P17" s="28" t="str">
        <x:v>Ejecutado</x:v>
      </x:c>
      <x:c r="Q17" s="28" t="str">
        <x:v>Ejecutado</x:v>
      </x:c>
      <x:c r="R17" s="28" t="str">
        <x:v>Ejecutado</x:v>
      </x:c>
      <x:c r="S17" s="28" t="str">
        <x:v>Ejecutado</x:v>
      </x:c>
      <x:c r="T17" s="28" t="str">
        <x:v>Ejecutado</x:v>
      </x:c>
      <x:c r="U17" s="28" t="str">
        <x:v>Ejecutado</x:v>
      </x:c>
      <x:c r="V17" s="28" t="str">
        <x:v>Ejecutado</x:v>
      </x:c>
      <x:c r="W17" s="28" t="str">
        <x:v>Ejecutado</x:v>
      </x:c>
      <x:c r="X17" s="28" t="str">
        <x:v>Ejecutado</x:v>
      </x:c>
      <x:c r="Y17" s="28" t="str">
        <x:v>Ejecutado</x:v>
      </x:c>
      <x:c r="Z17" s="28" t="str">
        <x:v>Reprogramado</x:v>
      </x:c>
      <x:c r="AA17" s="28" t="str">
        <x:v>Ejecutado</x:v>
      </x:c>
      <x:c r="AB17" s="28" t="n">
        <x:f>SUMPRODUCT(--(P17:AA17&lt;&gt;""),--(P$5:AA$5&lt;=$D$2))</x:f>
        <x:v>12</x:v>
      </x:c>
      <x:c r="AC17" s="28" t="n">
        <x:f>SUMPRODUCT(--(P17:AA17="Ejecutado"),--(P$5:AA$5&lt;=$D$2))</x:f>
        <x:v>11</x:v>
      </x:c>
      <x:c r="AD17" s="75" t="n">
        <x:f>IF(AB17=0,0,AC17/AB17)</x:f>
        <x:v>0.9166666666666666</x:v>
      </x:c>
      <x:c r="AE17" s="28" t="str">
        <x:f>IF(AD17=1,"Cumplida",IF(AD17&gt;=0.8,"Cumplida con ajustes",IF(AD17&gt;0,"En ejecución","Pendiente")))</x:f>
        <x:v>Cumplida con ajustes</x:v>
      </x:c>
    </x:row>
    <x:row r="18" ht="20" customHeight="1">
      <x:c r="A18" s="28" t="str">
        <x:v>PAT-012</x:v>
      </x:c>
      <x:c r="B18" s="28" t="n">
        <x:v>2025</x:v>
      </x:c>
      <x:c r="C18" s="28" t="str">
        <x:v>Todas las sedes</x:v>
      </x:c>
      <x:c r="D18" s="28" t="str">
        <x:v>Hacer</x:v>
      </x:c>
      <x:c r="E18" s="28" t="str">
        <x:v>Inspecciones</x:v>
      </x:c>
      <x:c r="F18" s="28" t="str">
        <x:v>Inspecciones planeadas</x:v>
      </x:c>
      <x:c r="G18" s="28" t="str">
        <x:v>Realizar inspecciones planeadas de seguridad en áreas, equipos y puestos de trabajo</x:v>
      </x:c>
      <x:c r="H18" s="28" t="str">
        <x:v>Identificar actos y condiciones inseguras</x:v>
      </x:c>
      <x:c r="I18" s="28" t="str">
        <x:v>12 inspecciones ejecutadas</x:v>
      </x:c>
      <x:c r="J18" s="28" t="str">
        <x:v>% de inspecciones ejecutadas</x:v>
      </x:c>
      <x:c r="K18" s="28" t="str">
        <x:v>Mensual</x:v>
      </x:c>
      <x:c r="L18" s="28" t="str">
        <x:v>SST / Jefes de área</x:v>
      </x:c>
      <x:c r="M18" s="73" t="n">
        <x:v>40</x:v>
      </x:c>
      <x:c r="N18" s="74" t="n">
        <x:v>3448900</x:v>
      </x:c>
      <x:c r="O18" s="28" t="str">
        <x:v>Checklists digitales</x:v>
      </x:c>
      <x:c r="P18" s="28" t="str">
        <x:v>Ejecutado</x:v>
      </x:c>
      <x:c r="Q18" s="28" t="str">
        <x:v>Ejecutado</x:v>
      </x:c>
      <x:c r="R18" s="28" t="str">
        <x:v>Ejecutado</x:v>
      </x:c>
      <x:c r="S18" s="28" t="str">
        <x:v>Ejecutado</x:v>
      </x:c>
      <x:c r="T18" s="28" t="str">
        <x:v>Ejecutado</x:v>
      </x:c>
      <x:c r="U18" s="28" t="str">
        <x:v>Ejecutado</x:v>
      </x:c>
      <x:c r="V18" s="28" t="str">
        <x:v>Ejecutado</x:v>
      </x:c>
      <x:c r="W18" s="28" t="str">
        <x:v>Ejecutado</x:v>
      </x:c>
      <x:c r="X18" s="28" t="str">
        <x:v>Ejecutado</x:v>
      </x:c>
      <x:c r="Y18" s="28" t="str">
        <x:v>Ejecutado</x:v>
      </x:c>
      <x:c r="Z18" s="28" t="str">
        <x:v>Ejecutado</x:v>
      </x:c>
      <x:c r="AA18" s="28" t="str">
        <x:v>Ejecutado</x:v>
      </x:c>
      <x:c r="AB18" s="28" t="n">
        <x:f>SUMPRODUCT(--(P18:AA18&lt;&gt;""),--(P$5:AA$5&lt;=$D$2))</x:f>
        <x:v>12</x:v>
      </x:c>
      <x:c r="AC18" s="28" t="n">
        <x:f>SUMPRODUCT(--(P18:AA18="Ejecutado"),--(P$5:AA$5&lt;=$D$2))</x:f>
        <x:v>12</x:v>
      </x:c>
      <x:c r="AD18" s="75" t="n">
        <x:f>IF(AB18=0,0,AC18/AB18)</x:f>
        <x:v>1</x:v>
      </x:c>
      <x:c r="AE18" s="28" t="str">
        <x:f>IF(AD18=1,"Cumplida",IF(AD18&gt;=0.8,"Cumplida con ajustes",IF(AD18&gt;0,"En ejecución","Pendiente")))</x:f>
        <x:v>Cumplida</x:v>
      </x:c>
    </x:row>
    <x:row r="19" ht="20" customHeight="1">
      <x:c r="A19" s="28" t="str">
        <x:v>PAT-013</x:v>
      </x:c>
      <x:c r="B19" s="28" t="n">
        <x:v>2025</x:v>
      </x:c>
      <x:c r="C19" s="28" t="str">
        <x:v>Todas las sedes</x:v>
      </x:c>
      <x:c r="D19" s="28" t="str">
        <x:v>Hacer</x:v>
      </x:c>
      <x:c r="E19" s="28" t="str">
        <x:v>Participación</x:v>
      </x:c>
      <x:c r="F19" s="28" t="str">
        <x:v>Reuniones COPASST</x:v>
      </x:c>
      <x:c r="G19" s="28" t="str">
        <x:v>Desarrollar reuniones mensuales de COPASST con seguimiento a compromisos</x:v>
      </x:c>
      <x:c r="H19" s="28" t="str">
        <x:v>Dar seguimiento participativo al SG-SST</x:v>
      </x:c>
      <x:c r="I19" s="28" t="str">
        <x:v>12 reuniones ejecutadas</x:v>
      </x:c>
      <x:c r="J19" s="28" t="str">
        <x:v>% de reuniones COPASST realizadas</x:v>
      </x:c>
      <x:c r="K19" s="28" t="str">
        <x:v>Mensual</x:v>
      </x:c>
      <x:c r="L19" s="28" t="str">
        <x:v>COPASST / SST</x:v>
      </x:c>
      <x:c r="M19" s="73" t="n">
        <x:v>30</x:v>
      </x:c>
      <x:c r="N19" s="74" t="n">
        <x:v>1379600</x:v>
      </x:c>
      <x:c r="O19" s="28" t="str">
        <x:v>Actas y seguimiento</x:v>
      </x:c>
      <x:c r="P19" s="28" t="str">
        <x:v>Ejecutado</x:v>
      </x:c>
      <x:c r="Q19" s="28" t="str">
        <x:v>Ejecutado</x:v>
      </x:c>
      <x:c r="R19" s="28" t="str">
        <x:v>Ejecutado</x:v>
      </x:c>
      <x:c r="S19" s="28" t="str">
        <x:v>Ejecutado</x:v>
      </x:c>
      <x:c r="T19" s="28" t="str">
        <x:v>Ejecutado</x:v>
      </x:c>
      <x:c r="U19" s="28" t="str">
        <x:v>Ejecutado</x:v>
      </x:c>
      <x:c r="V19" s="28" t="str">
        <x:v>Ejecutado</x:v>
      </x:c>
      <x:c r="W19" s="28" t="str">
        <x:v>Ejecutado</x:v>
      </x:c>
      <x:c r="X19" s="28" t="str">
        <x:v>Ejecutado</x:v>
      </x:c>
      <x:c r="Y19" s="28" t="str">
        <x:v>Ejecutado</x:v>
      </x:c>
      <x:c r="Z19" s="28" t="str">
        <x:v>Ejecutado</x:v>
      </x:c>
      <x:c r="AA19" s="28" t="str">
        <x:v>Ejecutado</x:v>
      </x:c>
      <x:c r="AB19" s="28" t="n">
        <x:f>SUMPRODUCT(--(P19:AA19&lt;&gt;""),--(P$5:AA$5&lt;=$D$2))</x:f>
        <x:v>12</x:v>
      </x:c>
      <x:c r="AC19" s="28" t="n">
        <x:f>SUMPRODUCT(--(P19:AA19="Ejecutado"),--(P$5:AA$5&lt;=$D$2))</x:f>
        <x:v>12</x:v>
      </x:c>
      <x:c r="AD19" s="75" t="n">
        <x:f>IF(AB19=0,0,AC19/AB19)</x:f>
        <x:v>1</x:v>
      </x:c>
      <x:c r="AE19" s="28" t="str">
        <x:f>IF(AD19=1,"Cumplida",IF(AD19&gt;=0.8,"Cumplida con ajustes",IF(AD19&gt;0,"En ejecución","Pendiente")))</x:f>
        <x:v>Cumplida</x:v>
      </x:c>
    </x:row>
    <x:row r="20" ht="20" customHeight="1">
      <x:c r="A20" s="28" t="str">
        <x:v>PAT-014</x:v>
      </x:c>
      <x:c r="B20" s="28" t="n">
        <x:v>2025</x:v>
      </x:c>
      <x:c r="C20" s="28" t="str">
        <x:v>Todas las sedes</x:v>
      </x:c>
      <x:c r="D20" s="28" t="str">
        <x:v>Hacer</x:v>
      </x:c>
      <x:c r="E20" s="28" t="str">
        <x:v>Emergencias</x:v>
      </x:c>
      <x:c r="F20" s="28" t="str">
        <x:v>Brigada y simulacros</x:v>
      </x:c>
      <x:c r="G20" s="28" t="str">
        <x:v>Ejecutar capacitaciones de brigada y simulacros de emergencia</x:v>
      </x:c>
      <x:c r="H20" s="28" t="str">
        <x:v>Fortalecer la preparación ante emergencias</x:v>
      </x:c>
      <x:c r="I20" s="28" t="str">
        <x:v>4 actividades ejecutadas</x:v>
      </x:c>
      <x:c r="J20" s="28" t="str">
        <x:v>% de simulacros/capacitaciones ejecutadas</x:v>
      </x:c>
      <x:c r="K20" s="28" t="str">
        <x:v>Trimestral</x:v>
      </x:c>
      <x:c r="L20" s="28" t="str">
        <x:v>Brigada / SST</x:v>
      </x:c>
      <x:c r="M20" s="73" t="n">
        <x:v>40</x:v>
      </x:c>
      <x:c r="N20" s="74" t="n">
        <x:v>4828400</x:v>
      </x:c>
      <x:c r="O20" s="28" t="str">
        <x:v>Plan de emergencias</x:v>
      </x:c>
      <x:c r="P20" s="28" t="str"/>
      <x:c r="Q20" s="28" t="str"/>
      <x:c r="R20" s="28" t="str">
        <x:v>Ejecutado</x:v>
      </x:c>
      <x:c r="S20" s="28" t="str"/>
      <x:c r="T20" s="28" t="str"/>
      <x:c r="U20" s="28" t="str">
        <x:v>Ejecutado</x:v>
      </x:c>
      <x:c r="V20" s="28" t="str"/>
      <x:c r="W20" s="28" t="str"/>
      <x:c r="X20" s="28" t="str">
        <x:v>Ejecutado</x:v>
      </x:c>
      <x:c r="Y20" s="28" t="str"/>
      <x:c r="Z20" s="28" t="str"/>
      <x:c r="AA20" s="28" t="str">
        <x:v>Ejecutado</x:v>
      </x:c>
      <x:c r="AB20" s="28" t="n">
        <x:f>SUMPRODUCT(--(P20:AA20&lt;&gt;""),--(P$5:AA$5&lt;=$D$2))</x:f>
        <x:v>4</x:v>
      </x:c>
      <x:c r="AC20" s="28" t="n">
        <x:f>SUMPRODUCT(--(P20:AA20="Ejecutado"),--(P$5:AA$5&lt;=$D$2))</x:f>
        <x:v>4</x:v>
      </x:c>
      <x:c r="AD20" s="75" t="n">
        <x:f>IF(AB20=0,0,AC20/AB20)</x:f>
        <x:v>1</x:v>
      </x:c>
      <x:c r="AE20" s="28" t="str">
        <x:f>IF(AD20=1,"Cumplida",IF(AD20&gt;=0.8,"Cumplida con ajustes",IF(AD20&gt;0,"En ejecución","Pendiente")))</x:f>
        <x:v>Cumplida</x:v>
      </x:c>
    </x:row>
    <x:row r="21" ht="20" customHeight="1">
      <x:c r="A21" s="28" t="str">
        <x:v>PAT-015</x:v>
      </x:c>
      <x:c r="B21" s="28" t="n">
        <x:v>2025</x:v>
      </x:c>
      <x:c r="C21" s="28" t="str">
        <x:v>Todas las sedes</x:v>
      </x:c>
      <x:c r="D21" s="28" t="str">
        <x:v>Hacer</x:v>
      </x:c>
      <x:c r="E21" s="28" t="str">
        <x:v>Medicina del trabajo</x:v>
      </x:c>
      <x:c r="F21" s="28" t="str">
        <x:v>Exámenes médicos ocupacionales</x:v>
      </x:c>
      <x:c r="G21" s="28" t="str">
        <x:v>Programar y ejecutar exámenes médicos de ingreso, periódicos y retiro</x:v>
      </x:c>
      <x:c r="H21" s="28" t="str">
        <x:v>Vigilar el estado de salud de la población trabajadora</x:v>
      </x:c>
      <x:c r="I21" s="28" t="str">
        <x:v>2 cortes de seguimiento ejecutados</x:v>
      </x:c>
      <x:c r="J21" s="28" t="str">
        <x:v>% de cobertura de EMO</x:v>
      </x:c>
      <x:c r="K21" s="28" t="str">
        <x:v>Semestral</x:v>
      </x:c>
      <x:c r="L21" s="28" t="str">
        <x:v>Talento Humano / SST</x:v>
      </x:c>
      <x:c r="M21" s="73" t="n">
        <x:v>24</x:v>
      </x:c>
      <x:c r="N21" s="74" t="n">
        <x:v>5518200</x:v>
      </x:c>
      <x:c r="O21" s="28" t="str">
        <x:v>Base EMO</x:v>
      </x:c>
      <x:c r="P21" s="28" t="str"/>
      <x:c r="Q21" s="28" t="str"/>
      <x:c r="R21" s="28" t="str"/>
      <x:c r="S21" s="28" t="str">
        <x:v>Ejecutado</x:v>
      </x:c>
      <x:c r="T21" s="28" t="str"/>
      <x:c r="U21" s="28" t="str"/>
      <x:c r="V21" s="28" t="str"/>
      <x:c r="W21" s="28" t="str"/>
      <x:c r="X21" s="28" t="str"/>
      <x:c r="Y21" s="28" t="str">
        <x:v>Ejecutado</x:v>
      </x:c>
      <x:c r="Z21" s="28" t="str"/>
      <x:c r="AA21" s="28" t="str"/>
      <x:c r="AB21" s="28" t="n">
        <x:f>SUMPRODUCT(--(P21:AA21&lt;&gt;""),--(P$5:AA$5&lt;=$D$2))</x:f>
        <x:v>2</x:v>
      </x:c>
      <x:c r="AC21" s="28" t="n">
        <x:f>SUMPRODUCT(--(P21:AA21="Ejecutado"),--(P$5:AA$5&lt;=$D$2))</x:f>
        <x:v>2</x:v>
      </x:c>
      <x:c r="AD21" s="75" t="n">
        <x:f>IF(AB21=0,0,AC21/AB21)</x:f>
        <x:v>1</x:v>
      </x:c>
      <x:c r="AE21" s="28" t="str">
        <x:f>IF(AD21=1,"Cumplida",IF(AD21&gt;=0.8,"Cumplida con ajustes",IF(AD21&gt;0,"En ejecución","Pendiente")))</x:f>
        <x:v>Cumplida</x:v>
      </x:c>
    </x:row>
    <x:row r="22" ht="20" customHeight="1">
      <x:c r="A22" s="28" t="str">
        <x:v>PAT-016</x:v>
      </x:c>
      <x:c r="B22" s="28" t="n">
        <x:v>2025</x:v>
      </x:c>
      <x:c r="C22" s="28" t="str">
        <x:v>Todas las sedes</x:v>
      </x:c>
      <x:c r="D22" s="28" t="str">
        <x:v>Hacer</x:v>
      </x:c>
      <x:c r="E22" s="28" t="str">
        <x:v>Peligros y riesgos</x:v>
      </x:c>
      <x:c r="F22" s="28" t="str">
        <x:v>Matriz de peligros</x:v>
      </x:c>
      <x:c r="G22" s="28" t="str">
        <x:v>Actualizar la matriz de identificación de peligros, evaluación y valoración de riesgos</x:v>
      </x:c>
      <x:c r="H22" s="28" t="str">
        <x:v>Mantener controles acordes a los riesgos</x:v>
      </x:c>
      <x:c r="I22" s="28" t="str">
        <x:v>2 actualizaciones ejecutadas</x:v>
      </x:c>
      <x:c r="J22" s="28" t="str">
        <x:v>% de matriz actualizada</x:v>
      </x:c>
      <x:c r="K22" s="28" t="str">
        <x:v>Semestral</x:v>
      </x:c>
      <x:c r="L22" s="28" t="str">
        <x:v>SST / Líderes de proceso</x:v>
      </x:c>
      <x:c r="M22" s="73" t="n">
        <x:v>32</x:v>
      </x:c>
      <x:c r="N22" s="74" t="n">
        <x:v>4023700</x:v>
      </x:c>
      <x:c r="O22" s="28" t="str">
        <x:v>Matriz GTC 45</x:v>
      </x:c>
      <x:c r="P22" s="28" t="str"/>
      <x:c r="Q22" s="28" t="str"/>
      <x:c r="R22" s="28" t="str"/>
      <x:c r="S22" s="28" t="str"/>
      <x:c r="T22" s="28" t="str">
        <x:v>Ejecutado</x:v>
      </x:c>
      <x:c r="U22" s="28" t="str"/>
      <x:c r="V22" s="28" t="str"/>
      <x:c r="W22" s="28" t="str"/>
      <x:c r="X22" s="28" t="str"/>
      <x:c r="Y22" s="28" t="str"/>
      <x:c r="Z22" s="28" t="str">
        <x:v>Ejecutado</x:v>
      </x:c>
      <x:c r="AA22" s="28" t="str"/>
      <x:c r="AB22" s="28" t="n">
        <x:f>SUMPRODUCT(--(P22:AA22&lt;&gt;""),--(P$5:AA$5&lt;=$D$2))</x:f>
        <x:v>2</x:v>
      </x:c>
      <x:c r="AC22" s="28" t="n">
        <x:f>SUMPRODUCT(--(P22:AA22="Ejecutado"),--(P$5:AA$5&lt;=$D$2))</x:f>
        <x:v>2</x:v>
      </x:c>
      <x:c r="AD22" s="75" t="n">
        <x:f>IF(AB22=0,0,AC22/AB22)</x:f>
        <x:v>1</x:v>
      </x:c>
      <x:c r="AE22" s="28" t="str">
        <x:f>IF(AD22=1,"Cumplida",IF(AD22&gt;=0.8,"Cumplida con ajustes",IF(AD22&gt;0,"En ejecución","Pendiente")))</x:f>
        <x:v>Cumplida</x:v>
      </x:c>
    </x:row>
    <x:row r="23" ht="20" customHeight="1">
      <x:c r="A23" s="28" t="str">
        <x:v>PAT-017</x:v>
      </x:c>
      <x:c r="B23" s="28" t="n">
        <x:v>2025</x:v>
      </x:c>
      <x:c r="C23" s="28" t="str">
        <x:v>Todas las sedes</x:v>
      </x:c>
      <x:c r="D23" s="28" t="str">
        <x:v>Hacer</x:v>
      </x:c>
      <x:c r="E23" s="28" t="str">
        <x:v>EPP</x:v>
      </x:c>
      <x:c r="F23" s="28" t="str">
        <x:v>Gestión de EPP</x:v>
      </x:c>
      <x:c r="G23" s="28" t="str">
        <x:v>Realizar entrega, reposición y seguimiento al uso de elementos de protección personal</x:v>
      </x:c>
      <x:c r="H23" s="28" t="str">
        <x:v>Asegurar protección frente a los riesgos</x:v>
      </x:c>
      <x:c r="I23" s="28" t="str">
        <x:v>4 ciclos de control ejecutados</x:v>
      </x:c>
      <x:c r="J23" s="28" t="str">
        <x:v>% de entregas/control ejecutado</x:v>
      </x:c>
      <x:c r="K23" s="28" t="str">
        <x:v>Trimestral</x:v>
      </x:c>
      <x:c r="L23" s="28" t="str">
        <x:v>Almacén / SST</x:v>
      </x:c>
      <x:c r="M23" s="73" t="n">
        <x:v>28</x:v>
      </x:c>
      <x:c r="N23" s="74" t="n">
        <x:v>5978100</x:v>
      </x:c>
      <x:c r="O23" s="28" t="str">
        <x:v>Inventario / actas</x:v>
      </x:c>
      <x:c r="P23" s="28" t="str"/>
      <x:c r="Q23" s="28" t="str">
        <x:v>Ejecutado</x:v>
      </x:c>
      <x:c r="R23" s="28" t="str"/>
      <x:c r="S23" s="28" t="str"/>
      <x:c r="T23" s="28" t="str">
        <x:v>Ejecutado</x:v>
      </x:c>
      <x:c r="U23" s="28" t="str"/>
      <x:c r="V23" s="28" t="str"/>
      <x:c r="W23" s="28" t="str">
        <x:v>Ejecutado</x:v>
      </x:c>
      <x:c r="X23" s="28" t="str"/>
      <x:c r="Y23" s="28" t="str"/>
      <x:c r="Z23" s="28" t="str">
        <x:v>Ejecutado</x:v>
      </x:c>
      <x:c r="AA23" s="28" t="str"/>
      <x:c r="AB23" s="28" t="n">
        <x:f>SUMPRODUCT(--(P23:AA23&lt;&gt;""),--(P$5:AA$5&lt;=$D$2))</x:f>
        <x:v>4</x:v>
      </x:c>
      <x:c r="AC23" s="28" t="n">
        <x:f>SUMPRODUCT(--(P23:AA23="Ejecutado"),--(P$5:AA$5&lt;=$D$2))</x:f>
        <x:v>4</x:v>
      </x:c>
      <x:c r="AD23" s="75" t="n">
        <x:f>IF(AB23=0,0,AC23/AB23)</x:f>
        <x:v>1</x:v>
      </x:c>
      <x:c r="AE23" s="28" t="str">
        <x:f>IF(AD23=1,"Cumplida",IF(AD23&gt;=0.8,"Cumplida con ajustes",IF(AD23&gt;0,"En ejecución","Pendiente")))</x:f>
        <x:v>Cumplida</x:v>
      </x:c>
    </x:row>
    <x:row r="24" ht="20" customHeight="1">
      <x:c r="A24" s="28" t="str">
        <x:v>PAT-018</x:v>
      </x:c>
      <x:c r="B24" s="28" t="n">
        <x:v>2025</x:v>
      </x:c>
      <x:c r="C24" s="28" t="str">
        <x:v>Todas las sedes</x:v>
      </x:c>
      <x:c r="D24" s="28" t="str">
        <x:v>Hacer</x:v>
      </x:c>
      <x:c r="E24" s="28" t="str">
        <x:v>Contratistas</x:v>
      </x:c>
      <x:c r="F24" s="28" t="str">
        <x:v>Seguimiento a contratistas</x:v>
      </x:c>
      <x:c r="G24" s="28" t="str">
        <x:v>Ejecutar verificaciones SST a contratistas y proveedores críticos</x:v>
      </x:c>
      <x:c r="H24" s="28" t="str">
        <x:v>Controlar riesgos derivados de terceros</x:v>
      </x:c>
      <x:c r="I24" s="28" t="str">
        <x:v>4 verificaciones ejecutadas</x:v>
      </x:c>
      <x:c r="J24" s="28" t="str">
        <x:v>% de contratistas evaluados</x:v>
      </x:c>
      <x:c r="K24" s="28" t="str">
        <x:v>Trimestral</x:v>
      </x:c>
      <x:c r="L24" s="28" t="str">
        <x:v>Compras / SST</x:v>
      </x:c>
      <x:c r="M24" s="73" t="n">
        <x:v>24</x:v>
      </x:c>
      <x:c r="N24" s="74" t="n">
        <x:v>2069300</x:v>
      </x:c>
      <x:c r="O24" s="28" t="str">
        <x:v>Formato de evaluación</x:v>
      </x:c>
      <x:c r="P24" s="28" t="str"/>
      <x:c r="Q24" s="28" t="str"/>
      <x:c r="R24" s="28" t="str">
        <x:v>Ejecutado</x:v>
      </x:c>
      <x:c r="S24" s="28" t="str"/>
      <x:c r="T24" s="28" t="str"/>
      <x:c r="U24" s="28" t="str">
        <x:v>Ejecutado</x:v>
      </x:c>
      <x:c r="V24" s="28" t="str"/>
      <x:c r="W24" s="28" t="str"/>
      <x:c r="X24" s="28" t="str">
        <x:v>Ejecutado</x:v>
      </x:c>
      <x:c r="Y24" s="28" t="str"/>
      <x:c r="Z24" s="28" t="str"/>
      <x:c r="AA24" s="28" t="str">
        <x:v>Ejecutado</x:v>
      </x:c>
      <x:c r="AB24" s="28" t="n">
        <x:f>SUMPRODUCT(--(P24:AA24&lt;&gt;""),--(P$5:AA$5&lt;=$D$2))</x:f>
        <x:v>4</x:v>
      </x:c>
      <x:c r="AC24" s="28" t="n">
        <x:f>SUMPRODUCT(--(P24:AA24="Ejecutado"),--(P$5:AA$5&lt;=$D$2))</x:f>
        <x:v>4</x:v>
      </x:c>
      <x:c r="AD24" s="75" t="n">
        <x:f>IF(AB24=0,0,AC24/AB24)</x:f>
        <x:v>1</x:v>
      </x:c>
      <x:c r="AE24" s="28" t="str">
        <x:f>IF(AD24=1,"Cumplida",IF(AD24&gt;=0.8,"Cumplida con ajustes",IF(AD24&gt;0,"En ejecución","Pendiente")))</x:f>
        <x:v>Cumplida</x:v>
      </x:c>
    </x:row>
    <x:row r="25" ht="20" customHeight="1">
      <x:c r="A25" s="28" t="str">
        <x:v>PAT-019</x:v>
      </x:c>
      <x:c r="B25" s="28" t="n">
        <x:v>2025</x:v>
      </x:c>
      <x:c r="C25" s="28" t="str">
        <x:v>Todas las sedes</x:v>
      </x:c>
      <x:c r="D25" s="28" t="str">
        <x:v>Hacer</x:v>
      </x:c>
      <x:c r="E25" s="28" t="str">
        <x:v>Emergencias</x:v>
      </x:c>
      <x:c r="F25" s="28" t="str">
        <x:v>Equipos de emergencia</x:v>
      </x:c>
      <x:c r="G25" s="28" t="str">
        <x:v>Verificar y mantener extintores, botiquines, camillas y señalización</x:v>
      </x:c>
      <x:c r="H25" s="28" t="str">
        <x:v>Asegurar disponibilidad de recursos de emergencia</x:v>
      </x:c>
      <x:c r="I25" s="28" t="str">
        <x:v>12 seguimientos ejecutados</x:v>
      </x:c>
      <x:c r="J25" s="28" t="str">
        <x:v>% de recursos de emergencia operativos</x:v>
      </x:c>
      <x:c r="K25" s="28" t="str">
        <x:v>Mensual</x:v>
      </x:c>
      <x:c r="L25" s="28" t="str">
        <x:v>SST / Mantenimiento</x:v>
      </x:c>
      <x:c r="M25" s="73" t="n">
        <x:v>24</x:v>
      </x:c>
      <x:c r="N25" s="74" t="n">
        <x:v>2989000</x:v>
      </x:c>
      <x:c r="O25" s="28" t="str">
        <x:v>Cronograma mantenimiento</x:v>
      </x:c>
      <x:c r="P25" s="28" t="str">
        <x:v>Ejecutado</x:v>
      </x:c>
      <x:c r="Q25" s="28" t="str">
        <x:v>Ejecutado</x:v>
      </x:c>
      <x:c r="R25" s="28" t="str">
        <x:v>Ejecutado</x:v>
      </x:c>
      <x:c r="S25" s="28" t="str">
        <x:v>Ejecutado</x:v>
      </x:c>
      <x:c r="T25" s="28" t="str">
        <x:v>Ejecutado</x:v>
      </x:c>
      <x:c r="U25" s="28" t="str">
        <x:v>Ejecutado</x:v>
      </x:c>
      <x:c r="V25" s="28" t="str">
        <x:v>Ejecutado</x:v>
      </x:c>
      <x:c r="W25" s="28" t="str">
        <x:v>Ejecutado</x:v>
      </x:c>
      <x:c r="X25" s="28" t="str">
        <x:v>Ejecutado</x:v>
      </x:c>
      <x:c r="Y25" s="28" t="str">
        <x:v>Ejecutado</x:v>
      </x:c>
      <x:c r="Z25" s="28" t="str">
        <x:v>Ejecutado</x:v>
      </x:c>
      <x:c r="AA25" s="28" t="str">
        <x:v>Ejecutado</x:v>
      </x:c>
      <x:c r="AB25" s="28" t="n">
        <x:f>SUMPRODUCT(--(P25:AA25&lt;&gt;""),--(P$5:AA$5&lt;=$D$2))</x:f>
        <x:v>12</x:v>
      </x:c>
      <x:c r="AC25" s="28" t="n">
        <x:f>SUMPRODUCT(--(P25:AA25="Ejecutado"),--(P$5:AA$5&lt;=$D$2))</x:f>
        <x:v>12</x:v>
      </x:c>
      <x:c r="AD25" s="75" t="n">
        <x:f>IF(AB25=0,0,AC25/AB25)</x:f>
        <x:v>1</x:v>
      </x:c>
      <x:c r="AE25" s="28" t="str">
        <x:f>IF(AD25=1,"Cumplida",IF(AD25&gt;=0.8,"Cumplida con ajustes",IF(AD25&gt;0,"En ejecución","Pendiente")))</x:f>
        <x:v>Cumplida</x:v>
      </x:c>
    </x:row>
    <x:row r="26" ht="20" customHeight="1">
      <x:c r="A26" s="28" t="str">
        <x:v>PAT-020</x:v>
      </x:c>
      <x:c r="B26" s="28" t="n">
        <x:v>2025</x:v>
      </x:c>
      <x:c r="C26" s="28" t="str">
        <x:v>Todas las sedes</x:v>
      </x:c>
      <x:c r="D26" s="28" t="str">
        <x:v>Hacer</x:v>
      </x:c>
      <x:c r="E26" s="28" t="str">
        <x:v>Eventos</x:v>
      </x:c>
      <x:c r="F26" s="28" t="str">
        <x:v>Investigación de incidentes y accidentes</x:v>
      </x:c>
      <x:c r="G26" s="28" t="str">
        <x:v>Investigar eventos reportados y gestionar acciones derivadas</x:v>
      </x:c>
      <x:c r="H26" s="28" t="str">
        <x:v>Controlar recurrencia de eventos</x:v>
      </x:c>
      <x:c r="I26" s="28" t="str">
        <x:v>12 seguimientos mensuales</x:v>
      </x:c>
      <x:c r="J26" s="28" t="str">
        <x:v>% de investigaciones cerradas oportunamente</x:v>
      </x:c>
      <x:c r="K26" s="28" t="str">
        <x:v>Mensual</x:v>
      </x:c>
      <x:c r="L26" s="28" t="str">
        <x:v>SST / Jefes inmediatos</x:v>
      </x:c>
      <x:c r="M26" s="73" t="n">
        <x:v>30</x:v>
      </x:c>
      <x:c r="N26" s="74" t="n">
        <x:v>2529200</x:v>
      </x:c>
      <x:c r="O26" s="28" t="str">
        <x:v>Formatos investigación</x:v>
      </x:c>
      <x:c r="P26" s="28" t="str">
        <x:v>Ejecutado</x:v>
      </x:c>
      <x:c r="Q26" s="28" t="str">
        <x:v>Ejecutado</x:v>
      </x:c>
      <x:c r="R26" s="28" t="str">
        <x:v>Ejecutado</x:v>
      </x:c>
      <x:c r="S26" s="28" t="str">
        <x:v>Ejecutado</x:v>
      </x:c>
      <x:c r="T26" s="28" t="str">
        <x:v>Ejecutado</x:v>
      </x:c>
      <x:c r="U26" s="28" t="str">
        <x:v>Ejecutado</x:v>
      </x:c>
      <x:c r="V26" s="28" t="str">
        <x:v>Ejecutado</x:v>
      </x:c>
      <x:c r="W26" s="28" t="str">
        <x:v>Ejecutado</x:v>
      </x:c>
      <x:c r="X26" s="28" t="str">
        <x:v>Ejecutado</x:v>
      </x:c>
      <x:c r="Y26" s="28" t="str">
        <x:v>Ejecutado</x:v>
      </x:c>
      <x:c r="Z26" s="28" t="str">
        <x:v>Ejecutado</x:v>
      </x:c>
      <x:c r="AA26" s="28" t="str">
        <x:v>Ejecutado</x:v>
      </x:c>
      <x:c r="AB26" s="28" t="n">
        <x:f>SUMPRODUCT(--(P26:AA26&lt;&gt;""),--(P$5:AA$5&lt;=$D$2))</x:f>
        <x:v>12</x:v>
      </x:c>
      <x:c r="AC26" s="28" t="n">
        <x:f>SUMPRODUCT(--(P26:AA26="Ejecutado"),--(P$5:AA$5&lt;=$D$2))</x:f>
        <x:v>12</x:v>
      </x:c>
      <x:c r="AD26" s="75" t="n">
        <x:f>IF(AB26=0,0,AC26/AB26)</x:f>
        <x:v>1</x:v>
      </x:c>
      <x:c r="AE26" s="28" t="str">
        <x:f>IF(AD26=1,"Cumplida",IF(AD26&gt;=0.8,"Cumplida con ajustes",IF(AD26&gt;0,"En ejecución","Pendiente")))</x:f>
        <x:v>Cumplida</x:v>
      </x:c>
    </x:row>
    <x:row r="27" ht="20" customHeight="1">
      <x:c r="A27" s="28" t="str">
        <x:v>PAT-021</x:v>
      </x:c>
      <x:c r="B27" s="28" t="n">
        <x:v>2025</x:v>
      </x:c>
      <x:c r="C27" s="28" t="str">
        <x:v>Todas las sedes</x:v>
      </x:c>
      <x:c r="D27" s="28" t="str">
        <x:v>Hacer</x:v>
      </x:c>
      <x:c r="E27" s="28" t="str">
        <x:v>Promoción y prevención</x:v>
      </x:c>
      <x:c r="F27" s="28" t="str">
        <x:v>Programas de vigilancia / PyP</x:v>
      </x:c>
      <x:c r="G27" s="28" t="str">
        <x:v>Ejecutar actividades de promoción y prevención de la salud</x:v>
      </x:c>
      <x:c r="H27" s="28" t="str">
        <x:v>Prevenir afectaciones asociadas a riesgos prioritarios</x:v>
      </x:c>
      <x:c r="I27" s="28" t="str">
        <x:v>4 campañas ejecutadas</x:v>
      </x:c>
      <x:c r="J27" s="28" t="str">
        <x:v>% de campañas ejecutadas</x:v>
      </x:c>
      <x:c r="K27" s="28" t="str">
        <x:v>Trimestral</x:v>
      </x:c>
      <x:c r="L27" s="28" t="str">
        <x:v>SST / Bienestar</x:v>
      </x:c>
      <x:c r="M27" s="73" t="n">
        <x:v>26</x:v>
      </x:c>
      <x:c r="N27" s="74" t="n">
        <x:v>3448900</x:v>
      </x:c>
      <x:c r="O27" s="28" t="str">
        <x:v>Material educativo</x:v>
      </x:c>
      <x:c r="P27" s="28" t="str"/>
      <x:c r="Q27" s="28" t="str">
        <x:v>Ejecutado</x:v>
      </x:c>
      <x:c r="R27" s="28" t="str"/>
      <x:c r="S27" s="28" t="str"/>
      <x:c r="T27" s="28" t="str">
        <x:v>Ejecutado</x:v>
      </x:c>
      <x:c r="U27" s="28" t="str"/>
      <x:c r="V27" s="28" t="str"/>
      <x:c r="W27" s="28" t="str">
        <x:v>Ejecutado</x:v>
      </x:c>
      <x:c r="X27" s="28" t="str"/>
      <x:c r="Y27" s="28" t="str"/>
      <x:c r="Z27" s="28" t="str">
        <x:v>Ejecutado</x:v>
      </x:c>
      <x:c r="AA27" s="28" t="str"/>
      <x:c r="AB27" s="28" t="n">
        <x:f>SUMPRODUCT(--(P27:AA27&lt;&gt;""),--(P$5:AA$5&lt;=$D$2))</x:f>
        <x:v>4</x:v>
      </x:c>
      <x:c r="AC27" s="28" t="n">
        <x:f>SUMPRODUCT(--(P27:AA27="Ejecutado"),--(P$5:AA$5&lt;=$D$2))</x:f>
        <x:v>4</x:v>
      </x:c>
      <x:c r="AD27" s="75" t="n">
        <x:f>IF(AB27=0,0,AC27/AB27)</x:f>
        <x:v>1</x:v>
      </x:c>
      <x:c r="AE27" s="28" t="str">
        <x:f>IF(AD27=1,"Cumplida",IF(AD27&gt;=0.8,"Cumplida con ajustes",IF(AD27&gt;0,"En ejecución","Pendiente")))</x:f>
        <x:v>Cumplida</x:v>
      </x:c>
    </x:row>
    <x:row r="28" ht="20" customHeight="1">
      <x:c r="A28" s="28" t="str">
        <x:v>PAT-022</x:v>
      </x:c>
      <x:c r="B28" s="28" t="n">
        <x:v>2025</x:v>
      </x:c>
      <x:c r="C28" s="28" t="str">
        <x:v>Todas las sedes</x:v>
      </x:c>
      <x:c r="D28" s="28" t="str">
        <x:v>Hacer</x:v>
      </x:c>
      <x:c r="E28" s="28" t="str">
        <x:v>Psicosocial</x:v>
      </x:c>
      <x:c r="F28" s="28" t="str">
        <x:v>Bienestar y riesgo psicosocial</x:v>
      </x:c>
      <x:c r="G28" s="28" t="str">
        <x:v>Desarrollar actividades de bienestar, convivencia y gestión del riesgo psicosocial</x:v>
      </x:c>
      <x:c r="H28" s="28" t="str">
        <x:v>Fortalecer factores protectores</x:v>
      </x:c>
      <x:c r="I28" s="28" t="str">
        <x:v>2 jornadas ejecutadas</x:v>
      </x:c>
      <x:c r="J28" s="28" t="str">
        <x:v>% de actividades psicosociales ejecutadas</x:v>
      </x:c>
      <x:c r="K28" s="28" t="str">
        <x:v>Semestral</x:v>
      </x:c>
      <x:c r="L28" s="28" t="str">
        <x:v>Talento Humano / SST</x:v>
      </x:c>
      <x:c r="M28" s="73" t="n">
        <x:v>20</x:v>
      </x:c>
      <x:c r="N28" s="74" t="n">
        <x:v>2874100</x:v>
      </x:c>
      <x:c r="O28" s="28" t="str">
        <x:v>Encuestas / talleres</x:v>
      </x:c>
      <x:c r="P28" s="28" t="str"/>
      <x:c r="Q28" s="28" t="str"/>
      <x:c r="R28" s="28" t="str"/>
      <x:c r="S28" s="28" t="str">
        <x:v>Ejecutado</x:v>
      </x:c>
      <x:c r="T28" s="28" t="str"/>
      <x:c r="U28" s="28" t="str"/>
      <x:c r="V28" s="28" t="str"/>
      <x:c r="W28" s="28" t="str"/>
      <x:c r="X28" s="28" t="str"/>
      <x:c r="Y28" s="28" t="str">
        <x:v>Ejecutado</x:v>
      </x:c>
      <x:c r="Z28" s="28" t="str"/>
      <x:c r="AA28" s="28" t="str"/>
      <x:c r="AB28" s="28" t="n">
        <x:f>SUMPRODUCT(--(P28:AA28&lt;&gt;""),--(P$5:AA$5&lt;=$D$2))</x:f>
        <x:v>2</x:v>
      </x:c>
      <x:c r="AC28" s="28" t="n">
        <x:f>SUMPRODUCT(--(P28:AA28="Ejecutado"),--(P$5:AA$5&lt;=$D$2))</x:f>
        <x:v>2</x:v>
      </x:c>
      <x:c r="AD28" s="75" t="n">
        <x:f>IF(AB28=0,0,AC28/AB28)</x:f>
        <x:v>1</x:v>
      </x:c>
      <x:c r="AE28" s="28" t="str">
        <x:f>IF(AD28=1,"Cumplida",IF(AD28&gt;=0.8,"Cumplida con ajustes",IF(AD28&gt;0,"En ejecución","Pendiente")))</x:f>
        <x:v>Cumplida</x:v>
      </x:c>
    </x:row>
    <x:row r="29" ht="20" customHeight="1">
      <x:c r="A29" s="28" t="str">
        <x:v>PAT-023</x:v>
      </x:c>
      <x:c r="B29" s="28" t="n">
        <x:v>2025</x:v>
      </x:c>
      <x:c r="C29" s="28" t="str">
        <x:v>Todas las sedes</x:v>
      </x:c>
      <x:c r="D29" s="28" t="str">
        <x:v>Hacer</x:v>
      </x:c>
      <x:c r="E29" s="28" t="str">
        <x:v>Capacitación</x:v>
      </x:c>
      <x:c r="F29" s="28" t="str">
        <x:v>Ejecución del plan de capacitación</x:v>
      </x:c>
      <x:c r="G29" s="28" t="str">
        <x:v>Ejecutar el cronograma de formación y capacitaciones SST</x:v>
      </x:c>
      <x:c r="H29" s="28" t="str">
        <x:v>Garantizar cumplimiento del plan anual de formación</x:v>
      </x:c>
      <x:c r="I29" s="28" t="str">
        <x:v>12 actividades ejecutadas</x:v>
      </x:c>
      <x:c r="J29" s="28" t="str">
        <x:v>% de cumplimiento del plan de formación</x:v>
      </x:c>
      <x:c r="K29" s="28" t="str">
        <x:v>Mensual</x:v>
      </x:c>
      <x:c r="L29" s="28" t="str">
        <x:v>SST / Talento Humano</x:v>
      </x:c>
      <x:c r="M29" s="73" t="n">
        <x:v>36</x:v>
      </x:c>
      <x:c r="N29" s="74" t="n">
        <x:v>4828400</x:v>
      </x:c>
      <x:c r="O29" s="28" t="str">
        <x:v>Plan de formación</x:v>
      </x:c>
      <x:c r="P29" s="28" t="str">
        <x:v>Ejecutado</x:v>
      </x:c>
      <x:c r="Q29" s="28" t="str">
        <x:v>Ejecutado</x:v>
      </x:c>
      <x:c r="R29" s="28" t="str">
        <x:v>Ejecutado</x:v>
      </x:c>
      <x:c r="S29" s="28" t="str">
        <x:v>Ejecutado</x:v>
      </x:c>
      <x:c r="T29" s="28" t="str">
        <x:v>Ejecutado</x:v>
      </x:c>
      <x:c r="U29" s="28" t="str">
        <x:v>Ejecutado</x:v>
      </x:c>
      <x:c r="V29" s="28" t="str">
        <x:v>Ejecutado</x:v>
      </x:c>
      <x:c r="W29" s="28" t="str">
        <x:v>Ejecutado</x:v>
      </x:c>
      <x:c r="X29" s="28" t="str">
        <x:v>Ejecutado</x:v>
      </x:c>
      <x:c r="Y29" s="28" t="str">
        <x:v>Ejecutado</x:v>
      </x:c>
      <x:c r="Z29" s="28" t="str">
        <x:v>Ejecutado</x:v>
      </x:c>
      <x:c r="AA29" s="28" t="str">
        <x:v>Ejecutado</x:v>
      </x:c>
      <x:c r="AB29" s="28" t="n">
        <x:f>SUMPRODUCT(--(P29:AA29&lt;&gt;""),--(P$5:AA$5&lt;=$D$2))</x:f>
        <x:v>12</x:v>
      </x:c>
      <x:c r="AC29" s="28" t="n">
        <x:f>SUMPRODUCT(--(P29:AA29="Ejecutado"),--(P$5:AA$5&lt;=$D$2))</x:f>
        <x:v>12</x:v>
      </x:c>
      <x:c r="AD29" s="75" t="n">
        <x:f>IF(AB29=0,0,AC29/AB29)</x:f>
        <x:v>1</x:v>
      </x:c>
      <x:c r="AE29" s="28" t="str">
        <x:f>IF(AD29=1,"Cumplida",IF(AD29&gt;=0.8,"Cumplida con ajustes",IF(AD29&gt;0,"En ejecución","Pendiente")))</x:f>
        <x:v>Cumplida</x:v>
      </x:c>
    </x:row>
    <x:row r="30" ht="20" customHeight="1">
      <x:c r="A30" s="28" t="str">
        <x:v>PAT-024</x:v>
      </x:c>
      <x:c r="B30" s="28" t="n">
        <x:v>2025</x:v>
      </x:c>
      <x:c r="C30" s="28" t="str">
        <x:v>Todas las sedes</x:v>
      </x:c>
      <x:c r="D30" s="28" t="str">
        <x:v>Hacer</x:v>
      </x:c>
      <x:c r="E30" s="28" t="str">
        <x:v>Infraestructura</x:v>
      </x:c>
      <x:c r="F30" s="28" t="str">
        <x:v>Mantenimiento preventivo</x:v>
      </x:c>
      <x:c r="G30" s="28" t="str">
        <x:v>Realizar mantenimiento preventivo a equipos críticos e infraestructura asociada a SST</x:v>
      </x:c>
      <x:c r="H30" s="28" t="str">
        <x:v>Garantizar condiciones seguras de operación</x:v>
      </x:c>
      <x:c r="I30" s="28" t="str">
        <x:v>12 mantenimientos/seguimientos ejecutados</x:v>
      </x:c>
      <x:c r="J30" s="28" t="str">
        <x:v>% de mantenimiento preventivo ejecutado</x:v>
      </x:c>
      <x:c r="K30" s="28" t="str">
        <x:v>Mensual</x:v>
      </x:c>
      <x:c r="L30" s="28" t="str">
        <x:v>Mantenimiento / SST</x:v>
      </x:c>
      <x:c r="M30" s="73" t="n">
        <x:v>36</x:v>
      </x:c>
      <x:c r="N30" s="74" t="n">
        <x:v>6437900</x:v>
      </x:c>
      <x:c r="O30" s="28" t="str">
        <x:v>Cronograma mantenimiento</x:v>
      </x:c>
      <x:c r="P30" s="28" t="str">
        <x:v>Ejecutado</x:v>
      </x:c>
      <x:c r="Q30" s="28" t="str">
        <x:v>Ejecutado</x:v>
      </x:c>
      <x:c r="R30" s="28" t="str">
        <x:v>Ejecutado</x:v>
      </x:c>
      <x:c r="S30" s="28" t="str">
        <x:v>Ejecutado</x:v>
      </x:c>
      <x:c r="T30" s="28" t="str">
        <x:v>Ejecutado</x:v>
      </x:c>
      <x:c r="U30" s="28" t="str">
        <x:v>Ejecutado</x:v>
      </x:c>
      <x:c r="V30" s="28" t="str">
        <x:v>Ejecutado</x:v>
      </x:c>
      <x:c r="W30" s="28" t="str">
        <x:v>Ejecutado</x:v>
      </x:c>
      <x:c r="X30" s="28" t="str">
        <x:v>Ejecutado</x:v>
      </x:c>
      <x:c r="Y30" s="28" t="str">
        <x:v>Ejecutado</x:v>
      </x:c>
      <x:c r="Z30" s="28" t="str">
        <x:v>Ejecutado</x:v>
      </x:c>
      <x:c r="AA30" s="28" t="str">
        <x:v>Ejecutado</x:v>
      </x:c>
      <x:c r="AB30" s="28" t="n">
        <x:f>SUMPRODUCT(--(P30:AA30&lt;&gt;""),--(P$5:AA$5&lt;=$D$2))</x:f>
        <x:v>12</x:v>
      </x:c>
      <x:c r="AC30" s="28" t="n">
        <x:f>SUMPRODUCT(--(P30:AA30="Ejecutado"),--(P$5:AA$5&lt;=$D$2))</x:f>
        <x:v>12</x:v>
      </x:c>
      <x:c r="AD30" s="75" t="n">
        <x:f>IF(AB30=0,0,AC30/AB30)</x:f>
        <x:v>1</x:v>
      </x:c>
      <x:c r="AE30" s="28" t="str">
        <x:f>IF(AD30=1,"Cumplida",IF(AD30&gt;=0.8,"Cumplida con ajustes",IF(AD30&gt;0,"En ejecución","Pendiente")))</x:f>
        <x:v>Cumplida</x:v>
      </x:c>
    </x:row>
    <x:row r="31" ht="20" customHeight="1">
      <x:c r="A31" s="28" t="str">
        <x:v>PAT-025</x:v>
      </x:c>
      <x:c r="B31" s="28" t="n">
        <x:v>2025</x:v>
      </x:c>
      <x:c r="C31" s="28" t="str">
        <x:v>Todas las sedes</x:v>
      </x:c>
      <x:c r="D31" s="28" t="str">
        <x:v>Verificar</x:v>
      </x:c>
      <x:c r="E31" s="28" t="str">
        <x:v>Indicadores</x:v>
      </x:c>
      <x:c r="F31" s="28" t="str">
        <x:v>Medición de indicadores</x:v>
      </x:c>
      <x:c r="G31" s="28" t="str">
        <x:v>Medir y analizar mensualmente los indicadores de estructura, proceso y resultado del SG-SST</x:v>
      </x:c>
      <x:c r="H31" s="28" t="str">
        <x:v>Hacer seguimiento al desempeño del sistema</x:v>
      </x:c>
      <x:c r="I31" s="28" t="str">
        <x:v>12 mediciones realizadas</x:v>
      </x:c>
      <x:c r="J31" s="28" t="str">
        <x:v>% de indicadores reportados oportunamente</x:v>
      </x:c>
      <x:c r="K31" s="28" t="str">
        <x:v>Mensual</x:v>
      </x:c>
      <x:c r="L31" s="28" t="str">
        <x:v>SST / Gerencia</x:v>
      </x:c>
      <x:c r="M31" s="73" t="n">
        <x:v>24</x:v>
      </x:c>
      <x:c r="N31" s="74" t="n">
        <x:v>1724400</x:v>
      </x:c>
      <x:c r="O31" s="28" t="str">
        <x:v>Dashboard / Looker</x:v>
      </x:c>
      <x:c r="P31" s="28" t="str">
        <x:v>Ejecutado</x:v>
      </x:c>
      <x:c r="Q31" s="28" t="str">
        <x:v>Ejecutado</x:v>
      </x:c>
      <x:c r="R31" s="28" t="str">
        <x:v>Ejecutado</x:v>
      </x:c>
      <x:c r="S31" s="28" t="str">
        <x:v>Ejecutado</x:v>
      </x:c>
      <x:c r="T31" s="28" t="str">
        <x:v>Ejecutado</x:v>
      </x:c>
      <x:c r="U31" s="28" t="str">
        <x:v>Reprogramado</x:v>
      </x:c>
      <x:c r="V31" s="28" t="str">
        <x:v>Ejecutado</x:v>
      </x:c>
      <x:c r="W31" s="28" t="str">
        <x:v>Ejecutado</x:v>
      </x:c>
      <x:c r="X31" s="28" t="str">
        <x:v>Ejecutado</x:v>
      </x:c>
      <x:c r="Y31" s="28" t="str">
        <x:v>Ejecutado</x:v>
      </x:c>
      <x:c r="Z31" s="28" t="str">
        <x:v>Ejecutado</x:v>
      </x:c>
      <x:c r="AA31" s="28" t="str">
        <x:v>Ejecutado</x:v>
      </x:c>
      <x:c r="AB31" s="28" t="n">
        <x:f>SUMPRODUCT(--(P31:AA31&lt;&gt;""),--(P$5:AA$5&lt;=$D$2))</x:f>
        <x:v>12</x:v>
      </x:c>
      <x:c r="AC31" s="28" t="n">
        <x:f>SUMPRODUCT(--(P31:AA31="Ejecutado"),--(P$5:AA$5&lt;=$D$2))</x:f>
        <x:v>11</x:v>
      </x:c>
      <x:c r="AD31" s="75" t="n">
        <x:f>IF(AB31=0,0,AC31/AB31)</x:f>
        <x:v>0.9166666666666666</x:v>
      </x:c>
      <x:c r="AE31" s="28" t="str">
        <x:f>IF(AD31=1,"Cumplida",IF(AD31&gt;=0.8,"Cumplida con ajustes",IF(AD31&gt;0,"En ejecución","Pendiente")))</x:f>
        <x:v>Cumplida con ajustes</x:v>
      </x:c>
    </x:row>
    <x:row r="32" ht="20" customHeight="1">
      <x:c r="A32" s="28" t="str">
        <x:v>PAT-026</x:v>
      </x:c>
      <x:c r="B32" s="28" t="n">
        <x:v>2025</x:v>
      </x:c>
      <x:c r="C32" s="28" t="str">
        <x:v>Todas las sedes</x:v>
      </x:c>
      <x:c r="D32" s="28" t="str">
        <x:v>Verificar</x:v>
      </x:c>
      <x:c r="E32" s="28" t="str">
        <x:v>Requisitos legales</x:v>
      </x:c>
      <x:c r="F32" s="28" t="str">
        <x:v>Revisión de cumplimiento legal</x:v>
      </x:c>
      <x:c r="G32" s="28" t="str">
        <x:v>Verificar trimestralmente el cumplimiento de requisitos legales aplicables</x:v>
      </x:c>
      <x:c r="H32" s="28" t="str">
        <x:v>Detectar incumplimientos y definir acciones</x:v>
      </x:c>
      <x:c r="I32" s="28" t="str">
        <x:v>4 revisiones ejecutadas</x:v>
      </x:c>
      <x:c r="J32" s="28" t="str">
        <x:v>% de revisión legal ejecutada</x:v>
      </x:c>
      <x:c r="K32" s="28" t="str">
        <x:v>Trimestral</x:v>
      </x:c>
      <x:c r="L32" s="28" t="str">
        <x:v>SST / Jurídica</x:v>
      </x:c>
      <x:c r="M32" s="73" t="n">
        <x:v>18</x:v>
      </x:c>
      <x:c r="N32" s="74" t="n">
        <x:v>1609500</x:v>
      </x:c>
      <x:c r="O32" s="28" t="str">
        <x:v>Matriz legal</x:v>
      </x:c>
      <x:c r="P32" s="28" t="str"/>
      <x:c r="Q32" s="28" t="str"/>
      <x:c r="R32" s="28" t="str">
        <x:v>Ejecutado</x:v>
      </x:c>
      <x:c r="S32" s="28" t="str"/>
      <x:c r="T32" s="28" t="str"/>
      <x:c r="U32" s="28" t="str">
        <x:v>Ejecutado</x:v>
      </x:c>
      <x:c r="V32" s="28" t="str"/>
      <x:c r="W32" s="28" t="str"/>
      <x:c r="X32" s="28" t="str">
        <x:v>Ejecutado</x:v>
      </x:c>
      <x:c r="Y32" s="28" t="str"/>
      <x:c r="Z32" s="28" t="str"/>
      <x:c r="AA32" s="28" t="str">
        <x:v>Ejecutado</x:v>
      </x:c>
      <x:c r="AB32" s="28" t="n">
        <x:f>SUMPRODUCT(--(P32:AA32&lt;&gt;""),--(P$5:AA$5&lt;=$D$2))</x:f>
        <x:v>4</x:v>
      </x:c>
      <x:c r="AC32" s="28" t="n">
        <x:f>SUMPRODUCT(--(P32:AA32="Ejecutado"),--(P$5:AA$5&lt;=$D$2))</x:f>
        <x:v>4</x:v>
      </x:c>
      <x:c r="AD32" s="75" t="n">
        <x:f>IF(AB32=0,0,AC32/AB32)</x:f>
        <x:v>1</x:v>
      </x:c>
      <x:c r="AE32" s="28" t="str">
        <x:f>IF(AD32=1,"Cumplida",IF(AD32&gt;=0.8,"Cumplida con ajustes",IF(AD32&gt;0,"En ejecución","Pendiente")))</x:f>
        <x:v>Cumplida</x:v>
      </x:c>
    </x:row>
    <x:row r="33" ht="20" customHeight="1">
      <x:c r="A33" s="28" t="str">
        <x:v>PAT-027</x:v>
      </x:c>
      <x:c r="B33" s="28" t="n">
        <x:v>2025</x:v>
      </x:c>
      <x:c r="C33" s="28" t="str">
        <x:v>Todas las sedes</x:v>
      </x:c>
      <x:c r="D33" s="28" t="str">
        <x:v>Verificar</x:v>
      </x:c>
      <x:c r="E33" s="28" t="str">
        <x:v>Auditoría</x:v>
      </x:c>
      <x:c r="F33" s="28" t="str">
        <x:v>Auditoría interna SG-SST</x:v>
      </x:c>
      <x:c r="G33" s="28" t="str">
        <x:v>Programar y ejecutar auditoría interna del SG-SST</x:v>
      </x:c>
      <x:c r="H33" s="28" t="str">
        <x:v>Evaluar la eficacia del sistema</x:v>
      </x:c>
      <x:c r="I33" s="28" t="str">
        <x:v>1 auditoría realizada</x:v>
      </x:c>
      <x:c r="J33" s="28" t="str">
        <x:v>Auditoría interna ejecutada</x:v>
      </x:c>
      <x:c r="K33" s="28" t="str">
        <x:v>Anual</x:v>
      </x:c>
      <x:c r="L33" s="28" t="str">
        <x:v>Auditor interno / SST</x:v>
      </x:c>
      <x:c r="M33" s="73" t="n">
        <x:v>40</x:v>
      </x:c>
      <x:c r="N33" s="74" t="n">
        <x:v>3448900</x:v>
      </x:c>
      <x:c r="O33" s="28" t="str">
        <x:v>Programa de auditoría</x:v>
      </x:c>
      <x:c r="P33" s="28" t="str"/>
      <x:c r="Q33" s="28" t="str"/>
      <x:c r="R33" s="28" t="str"/>
      <x:c r="S33" s="28" t="str"/>
      <x:c r="T33" s="28" t="str"/>
      <x:c r="U33" s="28" t="str"/>
      <x:c r="V33" s="28" t="str"/>
      <x:c r="W33" s="28" t="str">
        <x:v>Ejecutado</x:v>
      </x:c>
      <x:c r="X33" s="28" t="str"/>
      <x:c r="Y33" s="28" t="str"/>
      <x:c r="Z33" s="28" t="str"/>
      <x:c r="AA33" s="28" t="str"/>
      <x:c r="AB33" s="28" t="n">
        <x:f>SUMPRODUCT(--(P33:AA33&lt;&gt;""),--(P$5:AA$5&lt;=$D$2))</x:f>
        <x:v>1</x:v>
      </x:c>
      <x:c r="AC33" s="28" t="n">
        <x:f>SUMPRODUCT(--(P33:AA33="Ejecutado"),--(P$5:AA$5&lt;=$D$2))</x:f>
        <x:v>1</x:v>
      </x:c>
      <x:c r="AD33" s="75" t="n">
        <x:f>IF(AB33=0,0,AC33/AB33)</x:f>
        <x:v>1</x:v>
      </x:c>
      <x:c r="AE33" s="28" t="str">
        <x:f>IF(AD33=1,"Cumplida",IF(AD33&gt;=0.8,"Cumplida con ajustes",IF(AD33&gt;0,"En ejecución","Pendiente")))</x:f>
        <x:v>Cumplida</x:v>
      </x:c>
    </x:row>
    <x:row r="34" ht="20" customHeight="1">
      <x:c r="A34" s="28" t="str">
        <x:v>PAT-028</x:v>
      </x:c>
      <x:c r="B34" s="28" t="n">
        <x:v>2025</x:v>
      </x:c>
      <x:c r="C34" s="28" t="str">
        <x:v>Todas las sedes</x:v>
      </x:c>
      <x:c r="D34" s="28" t="str">
        <x:v>Verificar</x:v>
      </x:c>
      <x:c r="E34" s="28" t="str">
        <x:v>Mejora continua</x:v>
      </x:c>
      <x:c r="F34" s="28" t="str">
        <x:v>Seguimiento a planes de acción</x:v>
      </x:c>
      <x:c r="G34" s="28" t="str">
        <x:v>Verificar el cierre de acciones correctivas, preventivas y de mejora</x:v>
      </x:c>
      <x:c r="H34" s="28" t="str">
        <x:v>Asegurar eficacia de las acciones</x:v>
      </x:c>
      <x:c r="I34" s="28" t="str">
        <x:v>12 seguimientos ejecutados</x:v>
      </x:c>
      <x:c r="J34" s="28" t="str">
        <x:v>% de acciones cerradas</x:v>
      </x:c>
      <x:c r="K34" s="28" t="str">
        <x:v>Mensual</x:v>
      </x:c>
      <x:c r="L34" s="28" t="str">
        <x:v>SST / Responsables de proceso</x:v>
      </x:c>
      <x:c r="M34" s="73" t="n">
        <x:v>24</x:v>
      </x:c>
      <x:c r="N34" s="74" t="n">
        <x:v>2069300</x:v>
      </x:c>
      <x:c r="O34" s="28" t="str">
        <x:v>Matriz APCM</x:v>
      </x:c>
      <x:c r="P34" s="28" t="str">
        <x:v>Ejecutado</x:v>
      </x:c>
      <x:c r="Q34" s="28" t="str">
        <x:v>Ejecutado</x:v>
      </x:c>
      <x:c r="R34" s="28" t="str">
        <x:v>Ejecutado</x:v>
      </x:c>
      <x:c r="S34" s="28" t="str">
        <x:v>Ejecutado</x:v>
      </x:c>
      <x:c r="T34" s="28" t="str">
        <x:v>Ejecutado</x:v>
      </x:c>
      <x:c r="U34" s="28" t="str">
        <x:v>Ejecutado</x:v>
      </x:c>
      <x:c r="V34" s="28" t="str">
        <x:v>Ejecutado</x:v>
      </x:c>
      <x:c r="W34" s="28" t="str">
        <x:v>Ejecutado</x:v>
      </x:c>
      <x:c r="X34" s="28" t="str">
        <x:v>Cancelado</x:v>
      </x:c>
      <x:c r="Y34" s="28" t="str">
        <x:v>Ejecutado</x:v>
      </x:c>
      <x:c r="Z34" s="28" t="str">
        <x:v>Ejecutado</x:v>
      </x:c>
      <x:c r="AA34" s="28" t="str">
        <x:v>Ejecutado</x:v>
      </x:c>
      <x:c r="AB34" s="28" t="n">
        <x:f>SUMPRODUCT(--(P34:AA34&lt;&gt;""),--(P$5:AA$5&lt;=$D$2))</x:f>
        <x:v>12</x:v>
      </x:c>
      <x:c r="AC34" s="28" t="n">
        <x:f>SUMPRODUCT(--(P34:AA34="Ejecutado"),--(P$5:AA$5&lt;=$D$2))</x:f>
        <x:v>11</x:v>
      </x:c>
      <x:c r="AD34" s="75" t="n">
        <x:f>IF(AB34=0,0,AC34/AB34)</x:f>
        <x:v>0.9166666666666666</x:v>
      </x:c>
      <x:c r="AE34" s="28" t="str">
        <x:f>IF(AD34=1,"Cumplida",IF(AD34&gt;=0.8,"Cumplida con ajustes",IF(AD34&gt;0,"En ejecución","Pendiente")))</x:f>
        <x:v>Cumplida con ajustes</x:v>
      </x:c>
    </x:row>
    <x:row r="35" ht="20" customHeight="1">
      <x:c r="A35" s="28" t="str">
        <x:v>PAT-029</x:v>
      </x:c>
      <x:c r="B35" s="28" t="n">
        <x:v>2025</x:v>
      </x:c>
      <x:c r="C35" s="28" t="str">
        <x:v>Todas las sedes</x:v>
      </x:c>
      <x:c r="D35" s="28" t="str">
        <x:v>Verificar</x:v>
      </x:c>
      <x:c r="E35" s="28" t="str">
        <x:v>Evaluación del sistema</x:v>
      </x:c>
      <x:c r="F35" s="28" t="str">
        <x:v>Revisión final de estándares 0312</x:v>
      </x:c>
      <x:c r="G35" s="28" t="str">
        <x:v>Realizar evaluación de cierre del cumplimiento anual de estándares mínimos</x:v>
      </x:c>
      <x:c r="H35" s="28" t="str">
        <x:v>Medir avance anual del sistema</x:v>
      </x:c>
      <x:c r="I35" s="28" t="str">
        <x:v>1 evaluación de cierre ejecutada</x:v>
      </x:c>
      <x:c r="J35" s="28" t="str">
        <x:v>Resultado de autodiagnóstico de cierre</x:v>
      </x:c>
      <x:c r="K35" s="28" t="str">
        <x:v>Anual</x:v>
      </x:c>
      <x:c r="L35" s="28" t="str">
        <x:v>SST</x:v>
      </x:c>
      <x:c r="M35" s="73" t="n">
        <x:v>16</x:v>
      </x:c>
      <x:c r="N35" s="74" t="n">
        <x:v>1379600</x:v>
      </x:c>
      <x:c r="O35" s="28" t="str">
        <x:v>Autodiagnóstico</x:v>
      </x:c>
      <x:c r="P35" s="28" t="str"/>
      <x:c r="Q35" s="28" t="str"/>
      <x:c r="R35" s="28" t="str"/>
      <x:c r="S35" s="28" t="str"/>
      <x:c r="T35" s="28" t="str"/>
      <x:c r="U35" s="28" t="str"/>
      <x:c r="V35" s="28" t="str"/>
      <x:c r="W35" s="28" t="str"/>
      <x:c r="X35" s="28" t="str"/>
      <x:c r="Y35" s="28" t="str"/>
      <x:c r="Z35" s="28" t="str">
        <x:v>Ejecutado</x:v>
      </x:c>
      <x:c r="AA35" s="28" t="str"/>
      <x:c r="AB35" s="28" t="n">
        <x:f>SUMPRODUCT(--(P35:AA35&lt;&gt;""),--(P$5:AA$5&lt;=$D$2))</x:f>
        <x:v>1</x:v>
      </x:c>
      <x:c r="AC35" s="28" t="n">
        <x:f>SUMPRODUCT(--(P35:AA35="Ejecutado"),--(P$5:AA$5&lt;=$D$2))</x:f>
        <x:v>1</x:v>
      </x:c>
      <x:c r="AD35" s="75" t="n">
        <x:f>IF(AB35=0,0,AC35/AB35)</x:f>
        <x:v>1</x:v>
      </x:c>
      <x:c r="AE35" s="28" t="str">
        <x:f>IF(AD35=1,"Cumplida",IF(AD35&gt;=0.8,"Cumplida con ajustes",IF(AD35&gt;0,"En ejecución","Pendiente")))</x:f>
        <x:v>Cumplida</x:v>
      </x:c>
    </x:row>
    <x:row r="36" ht="20" customHeight="1">
      <x:c r="A36" s="28" t="str">
        <x:v>PAT-030</x:v>
      </x:c>
      <x:c r="B36" s="28" t="n">
        <x:v>2025</x:v>
      </x:c>
      <x:c r="C36" s="28" t="str">
        <x:v>Todas las sedes</x:v>
      </x:c>
      <x:c r="D36" s="28" t="str">
        <x:v>Actuar</x:v>
      </x:c>
      <x:c r="E36" s="28" t="str">
        <x:v>Dirección</x:v>
      </x:c>
      <x:c r="F36" s="28" t="str">
        <x:v>Revisión por la dirección</x:v>
      </x:c>
      <x:c r="G36" s="28" t="str">
        <x:v>Realizar revisión por la dirección del SG-SST con análisis de resultados y decisiones</x:v>
      </x:c>
      <x:c r="H36" s="28" t="str">
        <x:v>Definir acciones de mejora y recursos</x:v>
      </x:c>
      <x:c r="I36" s="28" t="str">
        <x:v>1 revisión por la dirección realizada</x:v>
      </x:c>
      <x:c r="J36" s="28" t="str">
        <x:v>Acta de revisión por la dirección</x:v>
      </x:c>
      <x:c r="K36" s="28" t="str">
        <x:v>Anual</x:v>
      </x:c>
      <x:c r="L36" s="28" t="str">
        <x:v>Gerencia / SST</x:v>
      </x:c>
      <x:c r="M36" s="73" t="n">
        <x:v>20</x:v>
      </x:c>
      <x:c r="N36" s="74" t="n">
        <x:v>1724400</x:v>
      </x:c>
      <x:c r="O36" s="28" t="str">
        <x:v>Informe ejecutivo</x:v>
      </x:c>
      <x:c r="P36" s="28" t="str"/>
      <x:c r="Q36" s="28" t="str"/>
      <x:c r="R36" s="28" t="str"/>
      <x:c r="S36" s="28" t="str"/>
      <x:c r="T36" s="28" t="str"/>
      <x:c r="U36" s="28" t="str"/>
      <x:c r="V36" s="28" t="str"/>
      <x:c r="W36" s="28" t="str"/>
      <x:c r="X36" s="28" t="str"/>
      <x:c r="Y36" s="28" t="str"/>
      <x:c r="Z36" s="28" t="str"/>
      <x:c r="AA36" s="28" t="str">
        <x:v>Ejecutado</x:v>
      </x:c>
      <x:c r="AB36" s="28" t="n">
        <x:f>SUMPRODUCT(--(P36:AA36&lt;&gt;""),--(P$5:AA$5&lt;=$D$2))</x:f>
        <x:v>1</x:v>
      </x:c>
      <x:c r="AC36" s="28" t="n">
        <x:f>SUMPRODUCT(--(P36:AA36="Ejecutado"),--(P$5:AA$5&lt;=$D$2))</x:f>
        <x:v>1</x:v>
      </x:c>
      <x:c r="AD36" s="75" t="n">
        <x:f>IF(AB36=0,0,AC36/AB36)</x:f>
        <x:v>1</x:v>
      </x:c>
      <x:c r="AE36" s="28" t="str">
        <x:f>IF(AD36=1,"Cumplida",IF(AD36&gt;=0.8,"Cumplida con ajustes",IF(AD36&gt;0,"En ejecución","Pendiente")))</x:f>
        <x:v>Cumplida</x:v>
      </x:c>
    </x:row>
    <x:row r="37" ht="20" customHeight="1">
      <x:c r="A37" s="28" t="str">
        <x:v>PAT-031</x:v>
      </x:c>
      <x:c r="B37" s="28" t="n">
        <x:v>2025</x:v>
      </x:c>
      <x:c r="C37" s="28" t="str">
        <x:v>Todas las sedes</x:v>
      </x:c>
      <x:c r="D37" s="28" t="str">
        <x:v>Actuar</x:v>
      </x:c>
      <x:c r="E37" s="28" t="str">
        <x:v>Mejora continua</x:v>
      </x:c>
      <x:c r="F37" s="28" t="str">
        <x:v>Plan de mejoramiento</x:v>
      </x:c>
      <x:c r="G37" s="28" t="str">
        <x:v>Actualizar y ejecutar el plan de mejoramiento del SG-SST</x:v>
      </x:c>
      <x:c r="H37" s="28" t="str">
        <x:v>Cerrar brechas identificadas</x:v>
      </x:c>
      <x:c r="I37" s="28" t="str">
        <x:v>12 seguimientos del plan</x:v>
      </x:c>
      <x:c r="J37" s="28" t="str">
        <x:v>% de acciones del plan ejecutadas</x:v>
      </x:c>
      <x:c r="K37" s="28" t="str">
        <x:v>Mensual</x:v>
      </x:c>
      <x:c r="L37" s="28" t="str">
        <x:v>SST / Líderes de proceso</x:v>
      </x:c>
      <x:c r="M37" s="73" t="n">
        <x:v>24</x:v>
      </x:c>
      <x:c r="N37" s="74" t="n">
        <x:v>2989000</x:v>
      </x:c>
      <x:c r="O37" s="28" t="str">
        <x:v>Matriz APCM</x:v>
      </x:c>
      <x:c r="P37" s="28" t="str">
        <x:v>Ejecutado</x:v>
      </x:c>
      <x:c r="Q37" s="28" t="str">
        <x:v>Ejecutado</x:v>
      </x:c>
      <x:c r="R37" s="28" t="str">
        <x:v>Ejecutado</x:v>
      </x:c>
      <x:c r="S37" s="28" t="str">
        <x:v>Ejecutado</x:v>
      </x:c>
      <x:c r="T37" s="28" t="str">
        <x:v>Ejecutado</x:v>
      </x:c>
      <x:c r="U37" s="28" t="str">
        <x:v>Ejecutado</x:v>
      </x:c>
      <x:c r="V37" s="28" t="str">
        <x:v>Ejecutado</x:v>
      </x:c>
      <x:c r="W37" s="28" t="str">
        <x:v>Ejecutado</x:v>
      </x:c>
      <x:c r="X37" s="28" t="str">
        <x:v>Ejecutado</x:v>
      </x:c>
      <x:c r="Y37" s="28" t="str">
        <x:v>Ejecutado</x:v>
      </x:c>
      <x:c r="Z37" s="28" t="str">
        <x:v>Ejecutado</x:v>
      </x:c>
      <x:c r="AA37" s="28" t="str">
        <x:v>Ejecutado</x:v>
      </x:c>
      <x:c r="AB37" s="28" t="n">
        <x:f>SUMPRODUCT(--(P37:AA37&lt;&gt;""),--(P$5:AA$5&lt;=$D$2))</x:f>
        <x:v>12</x:v>
      </x:c>
      <x:c r="AC37" s="28" t="n">
        <x:f>SUMPRODUCT(--(P37:AA37="Ejecutado"),--(P$5:AA$5&lt;=$D$2))</x:f>
        <x:v>12</x:v>
      </x:c>
      <x:c r="AD37" s="75" t="n">
        <x:f>IF(AB37=0,0,AC37/AB37)</x:f>
        <x:v>1</x:v>
      </x:c>
      <x:c r="AE37" s="28" t="str">
        <x:f>IF(AD37=1,"Cumplida",IF(AD37&gt;=0.8,"Cumplida con ajustes",IF(AD37&gt;0,"En ejecución","Pendiente")))</x:f>
        <x:v>Cumplida</x:v>
      </x:c>
    </x:row>
    <x:row r="38" ht="20" customHeight="1">
      <x:c r="A38" s="28" t="str">
        <x:v>PAT-032</x:v>
      </x:c>
      <x:c r="B38" s="28" t="n">
        <x:v>2025</x:v>
      </x:c>
      <x:c r="C38" s="28" t="str">
        <x:v>Todas las sedes</x:v>
      </x:c>
      <x:c r="D38" s="28" t="str">
        <x:v>Actuar</x:v>
      </x:c>
      <x:c r="E38" s="28" t="str">
        <x:v>Documentación</x:v>
      </x:c>
      <x:c r="F38" s="28" t="str">
        <x:v>Actualización documental</x:v>
      </x:c>
      <x:c r="G38" s="28" t="str">
        <x:v>Actualizar procedimientos, matrices y formatos derivados de auditorías, cambios o incidentes</x:v>
      </x:c>
      <x:c r="H38" s="28" t="str">
        <x:v>Mantener el sistema documentado y vigente</x:v>
      </x:c>
      <x:c r="I38" s="28" t="str">
        <x:v>2 ciclos de actualización documental</x:v>
      </x:c>
      <x:c r="J38" s="28" t="str">
        <x:v>% de documentos actualizados</x:v>
      </x:c>
      <x:c r="K38" s="28" t="str">
        <x:v>Semestral</x:v>
      </x:c>
      <x:c r="L38" s="28" t="str">
        <x:v>SST / Calidad</x:v>
      </x:c>
      <x:c r="M38" s="73" t="n">
        <x:v>18</x:v>
      </x:c>
      <x:c r="N38" s="74" t="n">
        <x:v>1494500</x:v>
      </x:c>
      <x:c r="O38" s="28" t="str">
        <x:v>Control documental</x:v>
      </x:c>
      <x:c r="P38" s="28" t="str"/>
      <x:c r="Q38" s="28" t="str"/>
      <x:c r="R38" s="28" t="str"/>
      <x:c r="S38" s="28" t="str"/>
      <x:c r="T38" s="28" t="str"/>
      <x:c r="U38" s="28" t="str">
        <x:v>Ejecutado</x:v>
      </x:c>
      <x:c r="V38" s="28" t="str"/>
      <x:c r="W38" s="28" t="str"/>
      <x:c r="X38" s="28" t="str"/>
      <x:c r="Y38" s="28" t="str"/>
      <x:c r="Z38" s="28" t="str"/>
      <x:c r="AA38" s="28" t="str">
        <x:v>Ejecutado</x:v>
      </x:c>
      <x:c r="AB38" s="28" t="n">
        <x:f>SUMPRODUCT(--(P38:AA38&lt;&gt;""),--(P$5:AA$5&lt;=$D$2))</x:f>
        <x:v>2</x:v>
      </x:c>
      <x:c r="AC38" s="28" t="n">
        <x:f>SUMPRODUCT(--(P38:AA38="Ejecutado"),--(P$5:AA$5&lt;=$D$2))</x:f>
        <x:v>2</x:v>
      </x:c>
      <x:c r="AD38" s="75" t="n">
        <x:f>IF(AB38=0,0,AC38/AB38)</x:f>
        <x:v>1</x:v>
      </x:c>
      <x:c r="AE38" s="28" t="str">
        <x:f>IF(AD38=1,"Cumplida",IF(AD38&gt;=0.8,"Cumplida con ajustes",IF(AD38&gt;0,"En ejecución","Pendiente")))</x:f>
        <x:v>Cumplida</x:v>
      </x:c>
    </x:row>
  </x:sheetData>
  <x:mergeCells>
    <x:mergeCell ref="A1:AE1"/>
  </x:mergeCells>
  <x:conditionalFormatting sqref="AD7:AD38">
    <x:cfRule type="colorScale" priority="1">
      <x:colorScale>
        <x:cfvo type="min"/>
        <x:cfvo type="percentile" val="50"/>
        <x:cfvo type="max"/>
        <x:color rgb="FDE2E1"/>
        <x:color rgb="FFF4CC"/>
        <x:color rgb="D9EAD3"/>
      </x:colorScale>
    </x:cfRule>
  </x:conditionalFormatting>
  <x:conditionalFormatting sqref="AE7:AE38">
    <x:cfRule type="expression" dxfId="16" priority="2">
      <x:formula>AE7="Cumplida"</x:formula>
    </x:cfRule>
    <x:cfRule type="expression" dxfId="17" priority="3">
      <x:formula>AE7="Cumplida con ajustes"</x:formula>
    </x:cfRule>
    <x:cfRule type="expression" dxfId="18" priority="4">
      <x:formula>AE7="En ejecución"</x:formula>
    </x:cfRule>
    <x:cfRule type="expression" dxfId="19" priority="5">
      <x:formula>AE7="Pendiente"</x:formula>
    </x:cfRule>
  </x:conditionalFormatting>
  <x:conditionalFormatting sqref="P7:AA38">
    <x:cfRule type="expression" dxfId="20" priority="6">
      <x:formula>P7="Ejecutado"</x:formula>
    </x:cfRule>
    <x:cfRule type="expression" dxfId="21" priority="7">
      <x:formula>P7="Planeado"</x:formula>
    </x:cfRule>
    <x:cfRule type="expression" dxfId="22" priority="8">
      <x:formula>P7="Reprogramado"</x:formula>
    </x:cfRule>
    <x:cfRule type="expression" dxfId="23" priority="9">
      <x:formula>P7="Cancelado"</x:formula>
    </x:cfRule>
  </x:conditionalFormatting>
  <x:dataValidations count="4">
    <x:dataValidation type="list" sqref="P7:AA38">
      <x:formula1>Catalogos!$A$4:$A$7</x:formula1>
    </x:dataValidation>
    <x:dataValidation type="list" sqref="D7:D38">
      <x:formula1>Catalogos!$C$4:$C$7</x:formula1>
    </x:dataValidation>
    <x:dataValidation type="list" sqref="K7:K38">
      <x:formula1>Catalogos!$E$4:$E$9</x:formula1>
    </x:dataValidation>
    <x:dataValidation type="list" sqref="C7:C38">
      <x:formula1>Catalogos!$G$4:$G$15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1c32d8128446d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8" hidden="0" customWidth="1"/>
    <x:col min="4" max="4" width="12" hidden="0" customWidth="1"/>
    <x:col min="5" max="5" width="18" hidden="0" customWidth="1"/>
    <x:col min="6" max="6" width="18" hidden="0" customWidth="1"/>
    <x:col min="7" max="7" width="28" hidden="0" customWidth="1"/>
    <x:col min="8" max="8" width="30" hidden="0" customWidth="1"/>
    <x:col min="9" max="9" width="22" hidden="0" customWidth="1"/>
    <x:col min="10" max="10" width="22" hidden="0" customWidth="1"/>
    <x:col min="11" max="11" width="11" hidden="0" customWidth="1"/>
    <x:col min="12" max="12" width="20" hidden="0" customWidth="1"/>
    <x:col min="13" max="13" width="13" hidden="0" customWidth="1"/>
    <x:col min="14" max="14" width="16" hidden="0" customWidth="1"/>
    <x:col min="15" max="15" width="22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4" hidden="0" customWidth="1"/>
    <x:col min="29" max="29" width="14" hidden="0" customWidth="1"/>
    <x:col min="30" max="30" width="14" hidden="0" customWidth="1"/>
    <x:col min="31" max="31" width="18" hidden="0" customWidth="1"/>
  </x:cols>
  <x:sheetData>
    <x:row r="1" ht="24" customHeight="1">
      <x:c r="A1" s="5" t="str">
        <x:v>Plan Anual de Trabajo SG-SST (PHVA) –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</x:row>
    <x:row r="2">
      <x:c r="A2" s="49" t="str">
        <x:v>Año</x:v>
      </x:c>
      <x:c r="B2" s="28" t="n">
        <x:v>2026</x:v>
      </x:c>
      <x:c r="C2" s="49" t="str">
        <x:v>Mes de corte</x:v>
      </x:c>
      <x:c r="D2" s="28" t="n">
        <x:v>5</x:v>
      </x:c>
      <x:c r="E2" s="49" t="str">
        <x:v>Marco</x:v>
      </x:c>
      <x:c r="F2" s="28" t="str">
        <x:v>Decreto 1072 de 2015 + Resolución 0312 de 2019</x:v>
      </x:c>
    </x:row>
    <x:row r="3">
      <x:c r="A3" s="49" t="str">
        <x:v>Propósito</x:v>
      </x:c>
      <x:c r="B3" s="28" t="str">
        <x:v>Programar, ejecutar y controlar el SG-SST por ciclo PHVA.</x:v>
      </x:c>
      <x:c r="C3" s="49" t="str">
        <x:v>Alcance</x:v>
      </x:c>
      <x:c r="D3" s="28" t="str">
        <x:v>Metas, responsables, recursos y cronograma mensual.</x:v>
      </x:c>
      <x:c r="E3" s="49" t="str">
        <x:v>Criterio</x:v>
      </x:c>
      <x:c r="F3" s="28" t="str">
        <x:v>% cumplimiento a corte = ejecutadas / programadas a corte</x:v>
      </x:c>
    </x:row>
    <x:row r="5">
      <x:c r="P5" s="57" t="n">
        <x:v>1</x:v>
      </x:c>
      <x:c r="Q5" s="57" t="n">
        <x:v>2</x:v>
      </x:c>
      <x:c r="R5" s="57" t="n">
        <x:v>3</x:v>
      </x:c>
      <x:c r="S5" s="57" t="n">
        <x:v>4</x:v>
      </x:c>
      <x:c r="T5" s="57" t="n">
        <x:v>5</x:v>
      </x:c>
      <x:c r="U5" s="57" t="n">
        <x:v>6</x:v>
      </x:c>
      <x:c r="V5" s="57" t="n">
        <x:v>7</x:v>
      </x:c>
      <x:c r="W5" s="57" t="n">
        <x:v>8</x:v>
      </x:c>
      <x:c r="X5" s="57" t="n">
        <x:v>9</x:v>
      </x:c>
      <x:c r="Y5" s="57" t="n">
        <x:v>10</x:v>
      </x:c>
      <x:c r="Z5" s="57" t="n">
        <x:v>11</x:v>
      </x:c>
      <x:c r="AA5" s="57" t="n">
        <x:v>12</x:v>
      </x:c>
    </x:row>
    <x:row r="6" ht="36" customHeight="1">
      <x:c r="A6" s="62" t="str">
        <x:v>Código</x:v>
      </x:c>
      <x:c r="B6" s="62" t="str">
        <x:v>Año</x:v>
      </x:c>
      <x:c r="C6" s="62" t="str">
        <x:v>Sede/Cobertura</x:v>
      </x:c>
      <x:c r="D6" s="62" t="str">
        <x:v>Ciclo PHVA</x:v>
      </x:c>
      <x:c r="E6" s="62" t="str">
        <x:v>Componente SG-SST</x:v>
      </x:c>
      <x:c r="F6" s="62" t="str">
        <x:v>Estándar / Requisito</x:v>
      </x:c>
      <x:c r="G6" s="62" t="str">
        <x:v>Actividad</x:v>
      </x:c>
      <x:c r="H6" s="62" t="str">
        <x:v>Objetivo</x:v>
      </x:c>
      <x:c r="I6" s="62" t="str">
        <x:v>Meta</x:v>
      </x:c>
      <x:c r="J6" s="62" t="str">
        <x:v>Indicador</x:v>
      </x:c>
      <x:c r="K6" s="62" t="str">
        <x:v>Frecuencia</x:v>
      </x:c>
      <x:c r="L6" s="62" t="str">
        <x:v>Responsable</x:v>
      </x:c>
      <x:c r="M6" s="62" t="str">
        <x:v>Rec. humanos (HH)</x:v>
      </x:c>
      <x:c r="N6" s="62" t="str">
        <x:v>Rec. financieros estimados (COP)</x:v>
      </x:c>
      <x:c r="O6" s="62" t="str">
        <x:v>Rec. tecnológicos</x:v>
      </x:c>
      <x:c r="P6" s="62" t="str">
        <x:v>Ene</x:v>
      </x:c>
      <x:c r="Q6" s="62" t="str">
        <x:v>Feb</x:v>
      </x:c>
      <x:c r="R6" s="62" t="str">
        <x:v>Mar</x:v>
      </x:c>
      <x:c r="S6" s="62" t="str">
        <x:v>Abr</x:v>
      </x:c>
      <x:c r="T6" s="62" t="str">
        <x:v>May</x:v>
      </x:c>
      <x:c r="U6" s="62" t="str">
        <x:v>Jun</x:v>
      </x:c>
      <x:c r="V6" s="62" t="str">
        <x:v>Jul</x:v>
      </x:c>
      <x:c r="W6" s="62" t="str">
        <x:v>Ago</x:v>
      </x:c>
      <x:c r="X6" s="62" t="str">
        <x:v>Sep</x:v>
      </x:c>
      <x:c r="Y6" s="62" t="str">
        <x:v>Oct</x:v>
      </x:c>
      <x:c r="Z6" s="62" t="str">
        <x:v>Nov</x:v>
      </x:c>
      <x:c r="AA6" s="62" t="str">
        <x:v>Dic</x:v>
      </x:c>
      <x:c r="AB6" s="62" t="str">
        <x:v>Programadas a corte</x:v>
      </x:c>
      <x:c r="AC6" s="62" t="str">
        <x:v>Ejecutadas a corte</x:v>
      </x:c>
      <x:c r="AD6" s="62" t="str">
        <x:v>% Cumplimiento a corte</x:v>
      </x:c>
      <x:c r="AE6" s="62" t="str">
        <x:v>Estado general</x:v>
      </x:c>
    </x:row>
    <x:row r="7" ht="20" customHeight="1">
      <x:c r="A7" s="28" t="str">
        <x:v>PAT-001</x:v>
      </x:c>
      <x:c r="B7" s="28" t="n">
        <x:v>2026</x:v>
      </x:c>
      <x:c r="C7" s="28" t="str">
        <x:v>Todas las sedes</x:v>
      </x:c>
      <x:c r="D7" s="28" t="str">
        <x:v>Planear</x:v>
      </x:c>
      <x:c r="E7" s="28" t="str">
        <x:v>Política SST</x:v>
      </x:c>
      <x:c r="F7" s="28" t="str">
        <x:v>Política y compromiso</x:v>
      </x:c>
      <x:c r="G7" s="28" t="str">
        <x:v>Revisar y actualizar la política de SST</x:v>
      </x:c>
      <x:c r="H7" s="28" t="str">
        <x:v>Mantener vigente la política y comunicarla a toda la organización</x:v>
      </x:c>
      <x:c r="I7" s="28" t="str">
        <x:v>1 política revisada y divulgada</x:v>
      </x:c>
      <x:c r="J7" s="28" t="str">
        <x:v>Política actualizada y evidencias de divulgación</x:v>
      </x:c>
      <x:c r="K7" s="28" t="str">
        <x:v>Anual</x:v>
      </x:c>
      <x:c r="L7" s="28" t="str">
        <x:v>Gerencia / Líder SST</x:v>
      </x:c>
      <x:c r="M7" s="73" t="n">
        <x:v>16</x:v>
      </x:c>
      <x:c r="N7" s="74" t="n">
        <x:v>1449900</x:v>
      </x:c>
      <x:c r="O7" s="28" t="str">
        <x:v>Google Drive, correo, cartelera</x:v>
      </x:c>
      <x:c r="P7" s="28" t="str">
        <x:v>Ejecutado</x:v>
      </x:c>
      <x:c r="Q7" s="28" t="str"/>
      <x:c r="R7" s="28" t="str"/>
      <x:c r="S7" s="28" t="str"/>
      <x:c r="T7" s="28" t="str"/>
      <x:c r="U7" s="28" t="str"/>
      <x:c r="V7" s="28" t="str"/>
      <x:c r="W7" s="28" t="str"/>
      <x:c r="X7" s="28" t="str"/>
      <x:c r="Y7" s="28" t="str"/>
      <x:c r="Z7" s="28" t="str"/>
      <x:c r="AA7" s="28" t="str"/>
      <x:c r="AB7" s="28" t="n">
        <x:f>SUMPRODUCT(--(P7:AA7&lt;&gt;""),--(P$5:AA$5&lt;=$D$2))</x:f>
        <x:v>1</x:v>
      </x:c>
      <x:c r="AC7" s="28" t="n">
        <x:f>SUMPRODUCT(--(P7:AA7="Ejecutado"),--(P$5:AA$5&lt;=$D$2))</x:f>
        <x:v>1</x:v>
      </x:c>
      <x:c r="AD7" s="75" t="n">
        <x:f>IF(AB7=0,0,AC7/AB7)</x:f>
        <x:v>1</x:v>
      </x:c>
      <x:c r="AE7" s="28" t="str">
        <x:f>IF(AD7=1,"Cumplida",IF(AD7&gt;=0.8,"Cumplida con ajustes",IF(AD7&gt;0,"En ejecución","Pendiente")))</x:f>
        <x:v>Cumplida</x:v>
      </x:c>
    </x:row>
    <x:row r="8" ht="20" customHeight="1">
      <x:c r="A8" s="28" t="str">
        <x:v>PAT-002</x:v>
      </x:c>
      <x:c r="B8" s="28" t="n">
        <x:v>2026</x:v>
      </x:c>
      <x:c r="C8" s="28" t="str">
        <x:v>Todas las sedes</x:v>
      </x:c>
      <x:c r="D8" s="28" t="str">
        <x:v>Planear</x:v>
      </x:c>
      <x:c r="E8" s="28" t="str">
        <x:v>Objetivos e indicadores</x:v>
      </x:c>
      <x:c r="F8" s="28" t="str">
        <x:v>Objetivos y metas</x:v>
      </x:c>
      <x:c r="G8" s="28" t="str">
        <x:v>Definir objetivos, metas e indicadores anuales del SG-SST</x:v>
      </x:c>
      <x:c r="H8" s="28" t="str">
        <x:v>Alinear la gestión SST con metas medibles</x:v>
      </x:c>
      <x:c r="I8" s="28" t="str">
        <x:v>1 matriz de objetivos e indicadores aprobada</x:v>
      </x:c>
      <x:c r="J8" s="28" t="str">
        <x:v>Matriz de objetivos e indicadores aprobada</x:v>
      </x:c>
      <x:c r="K8" s="28" t="str">
        <x:v>Anual</x:v>
      </x:c>
      <x:c r="L8" s="28" t="str">
        <x:v>Gerencia / Líder SST</x:v>
      </x:c>
      <x:c r="M8" s="73" t="n">
        <x:v>20</x:v>
      </x:c>
      <x:c r="N8" s="74" t="n">
        <x:v>1812400</x:v>
      </x:c>
      <x:c r="O8" s="28" t="str">
        <x:v>Excel / Sheets</x:v>
      </x:c>
      <x:c r="P8" s="28" t="str">
        <x:v>Ejecutado</x:v>
      </x:c>
      <x:c r="Q8" s="28" t="str"/>
      <x:c r="R8" s="28" t="str"/>
      <x:c r="S8" s="28" t="str"/>
      <x:c r="T8" s="28" t="str"/>
      <x:c r="U8" s="28" t="str"/>
      <x:c r="V8" s="28" t="str"/>
      <x:c r="W8" s="28" t="str"/>
      <x:c r="X8" s="28" t="str"/>
      <x:c r="Y8" s="28" t="str"/>
      <x:c r="Z8" s="28" t="str"/>
      <x:c r="AA8" s="28" t="str"/>
      <x:c r="AB8" s="28" t="n">
        <x:f>SUMPRODUCT(--(P8:AA8&lt;&gt;""),--(P$5:AA$5&lt;=$D$2))</x:f>
        <x:v>1</x:v>
      </x:c>
      <x:c r="AC8" s="28" t="n">
        <x:f>SUMPRODUCT(--(P8:AA8="Ejecutado"),--(P$5:AA$5&lt;=$D$2))</x:f>
        <x:v>1</x:v>
      </x:c>
      <x:c r="AD8" s="75" t="n">
        <x:f>IF(AB8=0,0,AC8/AB8)</x:f>
        <x:v>1</x:v>
      </x:c>
      <x:c r="AE8" s="28" t="str">
        <x:f>IF(AD8=1,"Cumplida",IF(AD8&gt;=0.8,"Cumplida con ajustes",IF(AD8&gt;0,"En ejecución","Pendiente")))</x:f>
        <x:v>Cumplida</x:v>
      </x:c>
    </x:row>
    <x:row r="9" ht="20" customHeight="1">
      <x:c r="A9" s="28" t="str">
        <x:v>PAT-003</x:v>
      </x:c>
      <x:c r="B9" s="28" t="n">
        <x:v>2026</x:v>
      </x:c>
      <x:c r="C9" s="28" t="str">
        <x:v>Todas las sedes</x:v>
      </x:c>
      <x:c r="D9" s="28" t="str">
        <x:v>Planear</x:v>
      </x:c>
      <x:c r="E9" s="28" t="str">
        <x:v>Recursos</x:v>
      </x:c>
      <x:c r="F9" s="28" t="str">
        <x:v>Asignación de recursos</x:v>
      </x:c>
      <x:c r="G9" s="28" t="str">
        <x:v>Aprobar y socializar la asignación de recursos del SG-SST</x:v>
      </x:c>
      <x:c r="H9" s="28" t="str">
        <x:v>Garantizar recursos humanos, físicos, tecnológicos y financieros</x:v>
      </x:c>
      <x:c r="I9" s="28" t="str">
        <x:v>1 presupuesto SST aprobado</x:v>
      </x:c>
      <x:c r="J9" s="28" t="str">
        <x:v>Presupuesto SST aprobado y comunicado</x:v>
      </x:c>
      <x:c r="K9" s="28" t="str">
        <x:v>Anual</x:v>
      </x:c>
      <x:c r="L9" s="28" t="str">
        <x:v>Gerencia / Financiera / Líder SST</x:v>
      </x:c>
      <x:c r="M9" s="73" t="n">
        <x:v>12</x:v>
      </x:c>
      <x:c r="N9" s="74" t="n">
        <x:v>966600</x:v>
      </x:c>
      <x:c r="O9" s="28" t="str">
        <x:v>Presupuesto SST</x:v>
      </x:c>
      <x:c r="P9" s="28" t="str">
        <x:v>Ejecutado</x:v>
      </x:c>
      <x:c r="Q9" s="28" t="str"/>
      <x:c r="R9" s="28" t="str"/>
      <x:c r="S9" s="28" t="str"/>
      <x:c r="T9" s="28" t="str"/>
      <x:c r="U9" s="28" t="str"/>
      <x:c r="V9" s="28" t="str"/>
      <x:c r="W9" s="28" t="str"/>
      <x:c r="X9" s="28" t="str"/>
      <x:c r="Y9" s="28" t="str"/>
      <x:c r="Z9" s="28" t="str"/>
      <x:c r="AA9" s="28" t="str"/>
      <x:c r="AB9" s="28" t="n">
        <x:f>SUMPRODUCT(--(P9:AA9&lt;&gt;""),--(P$5:AA$5&lt;=$D$2))</x:f>
        <x:v>1</x:v>
      </x:c>
      <x:c r="AC9" s="28" t="n">
        <x:f>SUMPRODUCT(--(P9:AA9="Ejecutado"),--(P$5:AA$5&lt;=$D$2))</x:f>
        <x:v>1</x:v>
      </x:c>
      <x:c r="AD9" s="75" t="n">
        <x:f>IF(AB9=0,0,AC9/AB9)</x:f>
        <x:v>1</x:v>
      </x:c>
      <x:c r="AE9" s="28" t="str">
        <x:f>IF(AD9=1,"Cumplida",IF(AD9&gt;=0.8,"Cumplida con ajustes",IF(AD9&gt;0,"En ejecución","Pendiente")))</x:f>
        <x:v>Cumplida</x:v>
      </x:c>
    </x:row>
    <x:row r="10" ht="20" customHeight="1">
      <x:c r="A10" s="28" t="str">
        <x:v>PAT-004</x:v>
      </x:c>
      <x:c r="B10" s="28" t="n">
        <x:v>2026</x:v>
      </x:c>
      <x:c r="C10" s="28" t="str">
        <x:v>Todas las sedes</x:v>
      </x:c>
      <x:c r="D10" s="28" t="str">
        <x:v>Planear</x:v>
      </x:c>
      <x:c r="E10" s="28" t="str">
        <x:v>Evaluación inicial</x:v>
      </x:c>
      <x:c r="F10" s="28" t="str">
        <x:v>Autoevaluación de estándares</x:v>
      </x:c>
      <x:c r="G10" s="28" t="str">
        <x:v>Aplicar autodiagnóstico de estándares mínimos de la Resolución 0312 de 2019</x:v>
      </x:c>
      <x:c r="H10" s="28" t="str">
        <x:v>Establecer la línea base anual del SG-SST</x:v>
      </x:c>
      <x:c r="I10" s="28" t="str">
        <x:v>1 autodiagnóstico aplicado</x:v>
      </x:c>
      <x:c r="J10" s="28" t="str">
        <x:v>Puntaje de estándares mínimos evaluado</x:v>
      </x:c>
      <x:c r="K10" s="28" t="str">
        <x:v>Anual</x:v>
      </x:c>
      <x:c r="L10" s="28" t="str">
        <x:v>Líder SST</x:v>
      </x:c>
      <x:c r="M10" s="73" t="n">
        <x:v>24</x:v>
      </x:c>
      <x:c r="N10" s="74" t="n">
        <x:v>2174900</x:v>
      </x:c>
      <x:c r="O10" s="28" t="str">
        <x:v>Formato autodiagnóstico</x:v>
      </x:c>
      <x:c r="P10" s="28" t="str"/>
      <x:c r="Q10" s="28" t="str">
        <x:v>Ejecutado</x:v>
      </x:c>
      <x:c r="R10" s="28" t="str"/>
      <x:c r="S10" s="28" t="str"/>
      <x:c r="T10" s="28" t="str"/>
      <x:c r="U10" s="28" t="str"/>
      <x:c r="V10" s="28" t="str"/>
      <x:c r="W10" s="28" t="str"/>
      <x:c r="X10" s="28" t="str"/>
      <x:c r="Y10" s="28" t="str"/>
      <x:c r="Z10" s="28" t="str"/>
      <x:c r="AA10" s="28" t="str"/>
      <x:c r="AB10" s="28" t="n">
        <x:f>SUMPRODUCT(--(P10:AA10&lt;&gt;""),--(P$5:AA$5&lt;=$D$2))</x:f>
        <x:v>1</x:v>
      </x:c>
      <x:c r="AC10" s="28" t="n">
        <x:f>SUMPRODUCT(--(P10:AA10="Ejecutado"),--(P$5:AA$5&lt;=$D$2))</x:f>
        <x:v>1</x:v>
      </x:c>
      <x:c r="AD10" s="75" t="n">
        <x:f>IF(AB10=0,0,AC10/AB10)</x:f>
        <x:v>1</x:v>
      </x:c>
      <x:c r="AE10" s="28" t="str">
        <x:f>IF(AD10=1,"Cumplida",IF(AD10&gt;=0.8,"Cumplida con ajustes",IF(AD10&gt;0,"En ejecución","Pendiente")))</x:f>
        <x:v>Cumplida</x:v>
      </x:c>
    </x:row>
    <x:row r="11" ht="20" customHeight="1">
      <x:c r="A11" s="28" t="str">
        <x:v>PAT-005</x:v>
      </x:c>
      <x:c r="B11" s="28" t="n">
        <x:v>2026</x:v>
      </x:c>
      <x:c r="C11" s="28" t="str">
        <x:v>Todas las sedes</x:v>
      </x:c>
      <x:c r="D11" s="28" t="str">
        <x:v>Planear</x:v>
      </x:c>
      <x:c r="E11" s="28" t="str">
        <x:v>Planificación anual</x:v>
      </x:c>
      <x:c r="F11" s="28" t="str">
        <x:v>Plan anual de trabajo</x:v>
      </x:c>
      <x:c r="G11" s="28" t="str">
        <x:v>Diseñar, aprobar y publicar el plan anual de trabajo del SG-SST</x:v>
      </x:c>
      <x:c r="H11" s="28" t="str">
        <x:v>Planificar actividades, metas, cronograma y responsables</x:v>
      </x:c>
      <x:c r="I11" s="28" t="str">
        <x:v>1 plan anual aprobado</x:v>
      </x:c>
      <x:c r="J11" s="28" t="str">
        <x:v>Plan anual aprobado y publicado</x:v>
      </x:c>
      <x:c r="K11" s="28" t="str">
        <x:v>Anual</x:v>
      </x:c>
      <x:c r="L11" s="28" t="str">
        <x:v>Líder SST / Gerencia</x:v>
      </x:c>
      <x:c r="M11" s="73" t="n">
        <x:v>18</x:v>
      </x:c>
      <x:c r="N11" s="74" t="n">
        <x:v>1208300</x:v>
      </x:c>
      <x:c r="O11" s="28" t="str">
        <x:v>Sheets / cronograma</x:v>
      </x:c>
      <x:c r="P11" s="28" t="str">
        <x:v>Ejecutado</x:v>
      </x:c>
      <x:c r="Q11" s="28" t="str"/>
      <x:c r="R11" s="28" t="str"/>
      <x:c r="S11" s="28" t="str"/>
      <x:c r="T11" s="28" t="str"/>
      <x:c r="U11" s="28" t="str"/>
      <x:c r="V11" s="28" t="str"/>
      <x:c r="W11" s="28" t="str"/>
      <x:c r="X11" s="28" t="str"/>
      <x:c r="Y11" s="28" t="str"/>
      <x:c r="Z11" s="28" t="str"/>
      <x:c r="AA11" s="28" t="str"/>
      <x:c r="AB11" s="28" t="n">
        <x:f>SUMPRODUCT(--(P11:AA11&lt;&gt;""),--(P$5:AA$5&lt;=$D$2))</x:f>
        <x:v>1</x:v>
      </x:c>
      <x:c r="AC11" s="28" t="n">
        <x:f>SUMPRODUCT(--(P11:AA11="Ejecutado"),--(P$5:AA$5&lt;=$D$2))</x:f>
        <x:v>1</x:v>
      </x:c>
      <x:c r="AD11" s="75" t="n">
        <x:f>IF(AB11=0,0,AC11/AB11)</x:f>
        <x:v>1</x:v>
      </x:c>
      <x:c r="AE11" s="28" t="str">
        <x:f>IF(AD11=1,"Cumplida",IF(AD11&gt;=0.8,"Cumplida con ajustes",IF(AD11&gt;0,"En ejecución","Pendiente")))</x:f>
        <x:v>Cumplida</x:v>
      </x:c>
    </x:row>
    <x:row r="12" ht="20" customHeight="1">
      <x:c r="A12" s="28" t="str">
        <x:v>PAT-006</x:v>
      </x:c>
      <x:c r="B12" s="28" t="n">
        <x:v>2026</x:v>
      </x:c>
      <x:c r="C12" s="28" t="str">
        <x:v>Todas las sedes</x:v>
      </x:c>
      <x:c r="D12" s="28" t="str">
        <x:v>Planear</x:v>
      </x:c>
      <x:c r="E12" s="28" t="str">
        <x:v>Requisitos legales</x:v>
      </x:c>
      <x:c r="F12" s="28" t="str">
        <x:v>Matriz legal</x:v>
      </x:c>
      <x:c r="G12" s="28" t="str">
        <x:v>Actualizar la matriz legal aplicable en SST</x:v>
      </x:c>
      <x:c r="H12" s="28" t="str">
        <x:v>Mantener identificados y evaluados los requisitos legales</x:v>
      </x:c>
      <x:c r="I12" s="28" t="str">
        <x:v>2 actualizaciones anuales</x:v>
      </x:c>
      <x:c r="J12" s="28" t="str">
        <x:v>% de requisitos legales actualizados</x:v>
      </x:c>
      <x:c r="K12" s="28" t="str">
        <x:v>Semestral</x:v>
      </x:c>
      <x:c r="L12" s="28" t="str">
        <x:v>Líder SST / Jurídica</x:v>
      </x:c>
      <x:c r="M12" s="73" t="n">
        <x:v>20</x:v>
      </x:c>
      <x:c r="N12" s="74" t="n">
        <x:v>2416500</x:v>
      </x:c>
      <x:c r="O12" s="28" t="str">
        <x:v>Matriz legal</x:v>
      </x:c>
      <x:c r="P12" s="28" t="str"/>
      <x:c r="Q12" s="28" t="str"/>
      <x:c r="R12" s="28" t="str">
        <x:v>Ejecutado</x:v>
      </x:c>
      <x:c r="S12" s="28" t="str"/>
      <x:c r="T12" s="28" t="str"/>
      <x:c r="U12" s="28" t="str"/>
      <x:c r="V12" s="28" t="str"/>
      <x:c r="W12" s="28" t="str"/>
      <x:c r="X12" s="28" t="str">
        <x:v>Planeado</x:v>
      </x:c>
      <x:c r="Y12" s="28" t="str"/>
      <x:c r="Z12" s="28" t="str"/>
      <x:c r="AA12" s="28" t="str"/>
      <x:c r="AB12" s="28" t="n">
        <x:f>SUMPRODUCT(--(P12:AA12&lt;&gt;""),--(P$5:AA$5&lt;=$D$2))</x:f>
        <x:v>1</x:v>
      </x:c>
      <x:c r="AC12" s="28" t="n">
        <x:f>SUMPRODUCT(--(P12:AA12="Ejecutado"),--(P$5:AA$5&lt;=$D$2))</x:f>
        <x:v>1</x:v>
      </x:c>
      <x:c r="AD12" s="75" t="n">
        <x:f>IF(AB12=0,0,AC12/AB12)</x:f>
        <x:v>1</x:v>
      </x:c>
      <x:c r="AE12" s="28" t="str">
        <x:f>IF(AD12=1,"Cumplida",IF(AD12&gt;=0.8,"Cumplida con ajustes",IF(AD12&gt;0,"En ejecución","Pendiente")))</x:f>
        <x:v>Cumplida</x:v>
      </x:c>
    </x:row>
    <x:row r="13" ht="20" customHeight="1">
      <x:c r="A13" s="28" t="str">
        <x:v>PAT-007</x:v>
      </x:c>
      <x:c r="B13" s="28" t="n">
        <x:v>2026</x:v>
      </x:c>
      <x:c r="C13" s="28" t="str">
        <x:v>Todas las sedes</x:v>
      </x:c>
      <x:c r="D13" s="28" t="str">
        <x:v>Planear</x:v>
      </x:c>
      <x:c r="E13" s="28" t="str">
        <x:v>Capacitación</x:v>
      </x:c>
      <x:c r="F13" s="28" t="str">
        <x:v>Plan de formación</x:v>
      </x:c>
      <x:c r="G13" s="28" t="str">
        <x:v>Definir y aprobar el plan anual de formación y capacitaciones en SST</x:v>
      </x:c>
      <x:c r="H13" s="28" t="str">
        <x:v>Garantizar competencias del personal</x:v>
      </x:c>
      <x:c r="I13" s="28" t="str">
        <x:v>1 plan de formación aprobado</x:v>
      </x:c>
      <x:c r="J13" s="28" t="str">
        <x:v>Plan anual de formación aprobado</x:v>
      </x:c>
      <x:c r="K13" s="28" t="str">
        <x:v>Anual</x:v>
      </x:c>
      <x:c r="L13" s="28" t="str">
        <x:v>Líder SST / Talento Humano</x:v>
      </x:c>
      <x:c r="M13" s="73" t="n">
        <x:v>12</x:v>
      </x:c>
      <x:c r="N13" s="74" t="n">
        <x:v>1087400</x:v>
      </x:c>
      <x:c r="O13" s="28" t="str">
        <x:v>Plan de formación</x:v>
      </x:c>
      <x:c r="P13" s="28" t="str">
        <x:v>Ejecutado</x:v>
      </x:c>
      <x:c r="Q13" s="28" t="str"/>
      <x:c r="R13" s="28" t="str"/>
      <x:c r="S13" s="28" t="str"/>
      <x:c r="T13" s="28" t="str"/>
      <x:c r="U13" s="28" t="str"/>
      <x:c r="V13" s="28" t="str"/>
      <x:c r="W13" s="28" t="str"/>
      <x:c r="X13" s="28" t="str"/>
      <x:c r="Y13" s="28" t="str"/>
      <x:c r="Z13" s="28" t="str"/>
      <x:c r="AA13" s="28" t="str"/>
      <x:c r="AB13" s="28" t="n">
        <x:f>SUMPRODUCT(--(P13:AA13&lt;&gt;""),--(P$5:AA$5&lt;=$D$2))</x:f>
        <x:v>1</x:v>
      </x:c>
      <x:c r="AC13" s="28" t="n">
        <x:f>SUMPRODUCT(--(P13:AA13="Ejecutado"),--(P$5:AA$5&lt;=$D$2))</x:f>
        <x:v>1</x:v>
      </x:c>
      <x:c r="AD13" s="75" t="n">
        <x:f>IF(AB13=0,0,AC13/AB13)</x:f>
        <x:v>1</x:v>
      </x:c>
      <x:c r="AE13" s="28" t="str">
        <x:f>IF(AD13=1,"Cumplida",IF(AD13&gt;=0.8,"Cumplida con ajustes",IF(AD13&gt;0,"En ejecución","Pendiente")))</x:f>
        <x:v>Cumplida</x:v>
      </x:c>
    </x:row>
    <x:row r="14" ht="20" customHeight="1">
      <x:c r="A14" s="28" t="str">
        <x:v>PAT-008</x:v>
      </x:c>
      <x:c r="B14" s="28" t="n">
        <x:v>2026</x:v>
      </x:c>
      <x:c r="C14" s="28" t="str">
        <x:v>Todas las sedes</x:v>
      </x:c>
      <x:c r="D14" s="28" t="str">
        <x:v>Planear</x:v>
      </x:c>
      <x:c r="E14" s="28" t="str">
        <x:v>Participación</x:v>
      </x:c>
      <x:c r="F14" s="28" t="str">
        <x:v>COPASST y CCL</x:v>
      </x:c>
      <x:c r="G14" s="28" t="str">
        <x:v>Establecer cronograma anual de reuniones de COPASST y Comité de Convivencia Laboral</x:v>
      </x:c>
      <x:c r="H14" s="28" t="str">
        <x:v>Asegurar la participación de los comités</x:v>
      </x:c>
      <x:c r="I14" s="28" t="str">
        <x:v>12 reuniones programadas por comité</x:v>
      </x:c>
      <x:c r="J14" s="28" t="str">
        <x:v>Cronograma de comités aprobado</x:v>
      </x:c>
      <x:c r="K14" s="28" t="str">
        <x:v>Anual</x:v>
      </x:c>
      <x:c r="L14" s="28" t="str">
        <x:v>Líder SST / Talento Humano</x:v>
      </x:c>
      <x:c r="M14" s="73" t="n">
        <x:v>10</x:v>
      </x:c>
      <x:c r="N14" s="74" t="n">
        <x:v>604100</x:v>
      </x:c>
      <x:c r="O14" s="28" t="str">
        <x:v>Calendario institucional</x:v>
      </x:c>
      <x:c r="P14" s="28" t="str">
        <x:v>Ejecutado</x:v>
      </x:c>
      <x:c r="Q14" s="28" t="str"/>
      <x:c r="R14" s="28" t="str"/>
      <x:c r="S14" s="28" t="str"/>
      <x:c r="T14" s="28" t="str"/>
      <x:c r="U14" s="28" t="str"/>
      <x:c r="V14" s="28" t="str"/>
      <x:c r="W14" s="28" t="str"/>
      <x:c r="X14" s="28" t="str"/>
      <x:c r="Y14" s="28" t="str"/>
      <x:c r="Z14" s="28" t="str"/>
      <x:c r="AA14" s="28" t="str"/>
      <x:c r="AB14" s="28" t="n">
        <x:f>SUMPRODUCT(--(P14:AA14&lt;&gt;""),--(P$5:AA$5&lt;=$D$2))</x:f>
        <x:v>1</x:v>
      </x:c>
      <x:c r="AC14" s="28" t="n">
        <x:f>SUMPRODUCT(--(P14:AA14="Ejecutado"),--(P$5:AA$5&lt;=$D$2))</x:f>
        <x:v>1</x:v>
      </x:c>
      <x:c r="AD14" s="75" t="n">
        <x:f>IF(AB14=0,0,AC14/AB14)</x:f>
        <x:v>1</x:v>
      </x:c>
      <x:c r="AE14" s="28" t="str">
        <x:f>IF(AD14=1,"Cumplida",IF(AD14&gt;=0.8,"Cumplida con ajustes",IF(AD14&gt;0,"En ejecución","Pendiente")))</x:f>
        <x:v>Cumplida</x:v>
      </x:c>
    </x:row>
    <x:row r="15" ht="20" customHeight="1">
      <x:c r="A15" s="28" t="str">
        <x:v>PAT-009</x:v>
      </x:c>
      <x:c r="B15" s="28" t="n">
        <x:v>2026</x:v>
      </x:c>
      <x:c r="C15" s="28" t="str">
        <x:v>Todas las sedes</x:v>
      </x:c>
      <x:c r="D15" s="28" t="str">
        <x:v>Planear</x:v>
      </x:c>
      <x:c r="E15" s="28" t="str">
        <x:v>Emergencias</x:v>
      </x:c>
      <x:c r="F15" s="28" t="str">
        <x:v>Plan de emergencias</x:v>
      </x:c>
      <x:c r="G15" s="28" t="str">
        <x:v>Revisar y actualizar el plan de prevención, preparación y respuesta ante emergencias</x:v>
      </x:c>
      <x:c r="H15" s="28" t="str">
        <x:v>Asegurar respuesta efectiva ante emergencias</x:v>
      </x:c>
      <x:c r="I15" s="28" t="str">
        <x:v>1 plan de emergencias actualizado</x:v>
      </x:c>
      <x:c r="J15" s="28" t="str">
        <x:v>Plan actualizado y divulgado</x:v>
      </x:c>
      <x:c r="K15" s="28" t="str">
        <x:v>Anual</x:v>
      </x:c>
      <x:c r="L15" s="28" t="str">
        <x:v>Líder SST / Brigada</x:v>
      </x:c>
      <x:c r="M15" s="73" t="n">
        <x:v>24</x:v>
      </x:c>
      <x:c r="N15" s="74" t="n">
        <x:v>3020600</x:v>
      </x:c>
      <x:c r="O15" s="28" t="str">
        <x:v>Plan de emergencias</x:v>
      </x:c>
      <x:c r="P15" s="28" t="str"/>
      <x:c r="Q15" s="28" t="str">
        <x:v>Ejecutado</x:v>
      </x:c>
      <x:c r="R15" s="28" t="str"/>
      <x:c r="S15" s="28" t="str"/>
      <x:c r="T15" s="28" t="str"/>
      <x:c r="U15" s="28" t="str"/>
      <x:c r="V15" s="28" t="str"/>
      <x:c r="W15" s="28" t="str"/>
      <x:c r="X15" s="28" t="str"/>
      <x:c r="Y15" s="28" t="str"/>
      <x:c r="Z15" s="28" t="str"/>
      <x:c r="AA15" s="28" t="str"/>
      <x:c r="AB15" s="28" t="n">
        <x:f>SUMPRODUCT(--(P15:AA15&lt;&gt;""),--(P$5:AA$5&lt;=$D$2))</x:f>
        <x:v>1</x:v>
      </x:c>
      <x:c r="AC15" s="28" t="n">
        <x:f>SUMPRODUCT(--(P15:AA15="Ejecutado"),--(P$5:AA$5&lt;=$D$2))</x:f>
        <x:v>1</x:v>
      </x:c>
      <x:c r="AD15" s="75" t="n">
        <x:f>IF(AB15=0,0,AC15/AB15)</x:f>
        <x:v>1</x:v>
      </x:c>
      <x:c r="AE15" s="28" t="str">
        <x:f>IF(AD15=1,"Cumplida",IF(AD15&gt;=0.8,"Cumplida con ajustes",IF(AD15&gt;0,"En ejecución","Pendiente")))</x:f>
        <x:v>Cumplida</x:v>
      </x:c>
    </x:row>
    <x:row r="16" ht="20" customHeight="1">
      <x:c r="A16" s="28" t="str">
        <x:v>PAT-010</x:v>
      </x:c>
      <x:c r="B16" s="28" t="n">
        <x:v>2026</x:v>
      </x:c>
      <x:c r="C16" s="28" t="str">
        <x:v>Todas las sedes</x:v>
      </x:c>
      <x:c r="D16" s="28" t="str">
        <x:v>Planear</x:v>
      </x:c>
      <x:c r="E16" s="28" t="str">
        <x:v>Contratistas</x:v>
      </x:c>
      <x:c r="F16" s="28" t="str">
        <x:v>Gestión de contratistas</x:v>
      </x:c>
      <x:c r="G16" s="28" t="str">
        <x:v>Definir cronograma anual de verificación SST a contratistas y proveedores</x:v>
      </x:c>
      <x:c r="H16" s="28" t="str">
        <x:v>Controlar el cumplimiento SST de terceros</x:v>
      </x:c>
      <x:c r="I16" s="28" t="str">
        <x:v>4 ciclos de verificación programados</x:v>
      </x:c>
      <x:c r="J16" s="28" t="str">
        <x:v>Cronograma de evaluación aprobado</x:v>
      </x:c>
      <x:c r="K16" s="28" t="str">
        <x:v>Anual</x:v>
      </x:c>
      <x:c r="L16" s="28" t="str">
        <x:v>Líder SST / Compras</x:v>
      </x:c>
      <x:c r="M16" s="73" t="n">
        <x:v>10</x:v>
      </x:c>
      <x:c r="N16" s="74" t="n">
        <x:v>845800</x:v>
      </x:c>
      <x:c r="O16" s="28" t="str">
        <x:v>Matriz de proveedores</x:v>
      </x:c>
      <x:c r="P16" s="28" t="str"/>
      <x:c r="Q16" s="28" t="str">
        <x:v>Ejecutado</x:v>
      </x:c>
      <x:c r="R16" s="28" t="str"/>
      <x:c r="S16" s="28" t="str"/>
      <x:c r="T16" s="28" t="str"/>
      <x:c r="U16" s="28" t="str"/>
      <x:c r="V16" s="28" t="str"/>
      <x:c r="W16" s="28" t="str"/>
      <x:c r="X16" s="28" t="str"/>
      <x:c r="Y16" s="28" t="str"/>
      <x:c r="Z16" s="28" t="str"/>
      <x:c r="AA16" s="28" t="str"/>
      <x:c r="AB16" s="28" t="n">
        <x:f>SUMPRODUCT(--(P16:AA16&lt;&gt;""),--(P$5:AA$5&lt;=$D$2))</x:f>
        <x:v>1</x:v>
      </x:c>
      <x:c r="AC16" s="28" t="n">
        <x:f>SUMPRODUCT(--(P16:AA16="Ejecutado"),--(P$5:AA$5&lt;=$D$2))</x:f>
        <x:v>1</x:v>
      </x:c>
      <x:c r="AD16" s="75" t="n">
        <x:f>IF(AB16=0,0,AC16/AB16)</x:f>
        <x:v>1</x:v>
      </x:c>
      <x:c r="AE16" s="28" t="str">
        <x:f>IF(AD16=1,"Cumplida",IF(AD16&gt;=0.8,"Cumplida con ajustes",IF(AD16&gt;0,"En ejecución","Pendiente")))</x:f>
        <x:v>Cumplida</x:v>
      </x:c>
    </x:row>
    <x:row r="17" ht="20" customHeight="1">
      <x:c r="A17" s="28" t="str">
        <x:v>PAT-011</x:v>
      </x:c>
      <x:c r="B17" s="28" t="n">
        <x:v>2026</x:v>
      </x:c>
      <x:c r="C17" s="28" t="str">
        <x:v>Todas las sedes</x:v>
      </x:c>
      <x:c r="D17" s="28" t="str">
        <x:v>Hacer</x:v>
      </x:c>
      <x:c r="E17" s="28" t="str">
        <x:v>Capacitación</x:v>
      </x:c>
      <x:c r="F17" s="28" t="str">
        <x:v>Inducción y reinducción</x:v>
      </x:c>
      <x:c r="G17" s="28" t="str">
        <x:v>Ejecutar inducción y reinducción en SST al personal</x:v>
      </x:c>
      <x:c r="H17" s="28" t="str">
        <x:v>Fortalecer el conocimiento de peligros, controles y deberes</x:v>
      </x:c>
      <x:c r="I17" s="28" t="str">
        <x:v>12 jornadas ejecutadas</x:v>
      </x:c>
      <x:c r="J17" s="28" t="str">
        <x:v>% de personal capacitado</x:v>
      </x:c>
      <x:c r="K17" s="28" t="str">
        <x:v>Mensual</x:v>
      </x:c>
      <x:c r="L17" s="28" t="str">
        <x:v>Talento Humano / SST</x:v>
      </x:c>
      <x:c r="M17" s="73" t="n">
        <x:v>36</x:v>
      </x:c>
      <x:c r="N17" s="74" t="n">
        <x:v>4349700</x:v>
      </x:c>
      <x:c r="O17" s="28" t="str">
        <x:v>Forms / listas de asistencia</x:v>
      </x:c>
      <x:c r="P17" s="28" t="str">
        <x:v>Ejecutado</x:v>
      </x:c>
      <x:c r="Q17" s="28" t="str">
        <x:v>Ejecutado</x:v>
      </x:c>
      <x:c r="R17" s="28" t="str">
        <x:v>Ejecutado</x:v>
      </x:c>
      <x:c r="S17" s="28" t="str">
        <x:v>Ejecutado</x:v>
      </x:c>
      <x:c r="T17" s="28" t="str">
        <x:v>Ejecutado</x:v>
      </x:c>
      <x:c r="U17" s="28" t="str">
        <x:v>Planeado</x:v>
      </x:c>
      <x:c r="V17" s="28" t="str">
        <x:v>Planeado</x:v>
      </x:c>
      <x:c r="W17" s="28" t="str">
        <x:v>Planeado</x:v>
      </x:c>
      <x:c r="X17" s="28" t="str">
        <x:v>Planeado</x:v>
      </x:c>
      <x:c r="Y17" s="28" t="str">
        <x:v>Planeado</x:v>
      </x:c>
      <x:c r="Z17" s="28" t="str">
        <x:v>Planeado</x:v>
      </x:c>
      <x:c r="AA17" s="28" t="str">
        <x:v>Planeado</x:v>
      </x:c>
      <x:c r="AB17" s="28" t="n">
        <x:f>SUMPRODUCT(--(P17:AA17&lt;&gt;""),--(P$5:AA$5&lt;=$D$2))</x:f>
        <x:v>5</x:v>
      </x:c>
      <x:c r="AC17" s="28" t="n">
        <x:f>SUMPRODUCT(--(P17:AA17="Ejecutado"),--(P$5:AA$5&lt;=$D$2))</x:f>
        <x:v>5</x:v>
      </x:c>
      <x:c r="AD17" s="75" t="n">
        <x:f>IF(AB17=0,0,AC17/AB17)</x:f>
        <x:v>1</x:v>
      </x:c>
      <x:c r="AE17" s="28" t="str">
        <x:f>IF(AD17=1,"Cumplida",IF(AD17&gt;=0.8,"Cumplida con ajustes",IF(AD17&gt;0,"En ejecución","Pendiente")))</x:f>
        <x:v>Cumplida</x:v>
      </x:c>
    </x:row>
    <x:row r="18" ht="20" customHeight="1">
      <x:c r="A18" s="28" t="str">
        <x:v>PAT-012</x:v>
      </x:c>
      <x:c r="B18" s="28" t="n">
        <x:v>2026</x:v>
      </x:c>
      <x:c r="C18" s="28" t="str">
        <x:v>Todas las sedes</x:v>
      </x:c>
      <x:c r="D18" s="28" t="str">
        <x:v>Hacer</x:v>
      </x:c>
      <x:c r="E18" s="28" t="str">
        <x:v>Inspecciones</x:v>
      </x:c>
      <x:c r="F18" s="28" t="str">
        <x:v>Inspecciones planeadas</x:v>
      </x:c>
      <x:c r="G18" s="28" t="str">
        <x:v>Realizar inspecciones planeadas de seguridad en áreas, equipos y puestos de trabajo</x:v>
      </x:c>
      <x:c r="H18" s="28" t="str">
        <x:v>Identificar actos y condiciones inseguras</x:v>
      </x:c>
      <x:c r="I18" s="28" t="str">
        <x:v>12 inspecciones ejecutadas</x:v>
      </x:c>
      <x:c r="J18" s="28" t="str">
        <x:v>% de inspecciones ejecutadas</x:v>
      </x:c>
      <x:c r="K18" s="28" t="str">
        <x:v>Mensual</x:v>
      </x:c>
      <x:c r="L18" s="28" t="str">
        <x:v>SST / Jefes de área</x:v>
      </x:c>
      <x:c r="M18" s="73" t="n">
        <x:v>40</x:v>
      </x:c>
      <x:c r="N18" s="74" t="n">
        <x:v>3624800</x:v>
      </x:c>
      <x:c r="O18" s="28" t="str">
        <x:v>Checklists digitales</x:v>
      </x:c>
      <x:c r="P18" s="28" t="str">
        <x:v>Cancelado</x:v>
      </x:c>
      <x:c r="Q18" s="28" t="str">
        <x:v>Ejecutado</x:v>
      </x:c>
      <x:c r="R18" s="28" t="str">
        <x:v>Ejecutado</x:v>
      </x:c>
      <x:c r="S18" s="28" t="str">
        <x:v>Ejecutado</x:v>
      </x:c>
      <x:c r="T18" s="28" t="str">
        <x:v>Ejecutado</x:v>
      </x:c>
      <x:c r="U18" s="28" t="str">
        <x:v>Planeado</x:v>
      </x:c>
      <x:c r="V18" s="28" t="str">
        <x:v>Planeado</x:v>
      </x:c>
      <x:c r="W18" s="28" t="str">
        <x:v>Planeado</x:v>
      </x:c>
      <x:c r="X18" s="28" t="str">
        <x:v>Planeado</x:v>
      </x:c>
      <x:c r="Y18" s="28" t="str">
        <x:v>Planeado</x:v>
      </x:c>
      <x:c r="Z18" s="28" t="str">
        <x:v>Planeado</x:v>
      </x:c>
      <x:c r="AA18" s="28" t="str">
        <x:v>Planeado</x:v>
      </x:c>
      <x:c r="AB18" s="28" t="n">
        <x:f>SUMPRODUCT(--(P18:AA18&lt;&gt;""),--(P$5:AA$5&lt;=$D$2))</x:f>
        <x:v>5</x:v>
      </x:c>
      <x:c r="AC18" s="28" t="n">
        <x:f>SUMPRODUCT(--(P18:AA18="Ejecutado"),--(P$5:AA$5&lt;=$D$2))</x:f>
        <x:v>4</x:v>
      </x:c>
      <x:c r="AD18" s="75" t="n">
        <x:f>IF(AB18=0,0,AC18/AB18)</x:f>
        <x:v>0.8</x:v>
      </x:c>
      <x:c r="AE18" s="28" t="str">
        <x:f>IF(AD18=1,"Cumplida",IF(AD18&gt;=0.8,"Cumplida con ajustes",IF(AD18&gt;0,"En ejecución","Pendiente")))</x:f>
        <x:v>Cumplida con ajustes</x:v>
      </x:c>
    </x:row>
    <x:row r="19" ht="20" customHeight="1">
      <x:c r="A19" s="28" t="str">
        <x:v>PAT-013</x:v>
      </x:c>
      <x:c r="B19" s="28" t="n">
        <x:v>2026</x:v>
      </x:c>
      <x:c r="C19" s="28" t="str">
        <x:v>Todas las sedes</x:v>
      </x:c>
      <x:c r="D19" s="28" t="str">
        <x:v>Hacer</x:v>
      </x:c>
      <x:c r="E19" s="28" t="str">
        <x:v>Participación</x:v>
      </x:c>
      <x:c r="F19" s="28" t="str">
        <x:v>Reuniones COPASST</x:v>
      </x:c>
      <x:c r="G19" s="28" t="str">
        <x:v>Desarrollar reuniones mensuales de COPASST con seguimiento a compromisos</x:v>
      </x:c>
      <x:c r="H19" s="28" t="str">
        <x:v>Dar seguimiento participativo al SG-SST</x:v>
      </x:c>
      <x:c r="I19" s="28" t="str">
        <x:v>12 reuniones ejecutadas</x:v>
      </x:c>
      <x:c r="J19" s="28" t="str">
        <x:v>% de reuniones COPASST realizadas</x:v>
      </x:c>
      <x:c r="K19" s="28" t="str">
        <x:v>Mensual</x:v>
      </x:c>
      <x:c r="L19" s="28" t="str">
        <x:v>COPASST / SST</x:v>
      </x:c>
      <x:c r="M19" s="73" t="n">
        <x:v>30</x:v>
      </x:c>
      <x:c r="N19" s="74" t="n">
        <x:v>1449900</x:v>
      </x:c>
      <x:c r="O19" s="28" t="str">
        <x:v>Actas y seguimiento</x:v>
      </x:c>
      <x:c r="P19" s="28" t="str">
        <x:v>Ejecutado</x:v>
      </x:c>
      <x:c r="Q19" s="28" t="str">
        <x:v>Ejecutado</x:v>
      </x:c>
      <x:c r="R19" s="28" t="str">
        <x:v>Ejecutado</x:v>
      </x:c>
      <x:c r="S19" s="28" t="str">
        <x:v>Ejecutado</x:v>
      </x:c>
      <x:c r="T19" s="28" t="str">
        <x:v>Ejecutado</x:v>
      </x:c>
      <x:c r="U19" s="28" t="str">
        <x:v>Planeado</x:v>
      </x:c>
      <x:c r="V19" s="28" t="str">
        <x:v>Planeado</x:v>
      </x:c>
      <x:c r="W19" s="28" t="str">
        <x:v>Planeado</x:v>
      </x:c>
      <x:c r="X19" s="28" t="str">
        <x:v>Planeado</x:v>
      </x:c>
      <x:c r="Y19" s="28" t="str">
        <x:v>Planeado</x:v>
      </x:c>
      <x:c r="Z19" s="28" t="str">
        <x:v>Planeado</x:v>
      </x:c>
      <x:c r="AA19" s="28" t="str">
        <x:v>Planeado</x:v>
      </x:c>
      <x:c r="AB19" s="28" t="n">
        <x:f>SUMPRODUCT(--(P19:AA19&lt;&gt;""),--(P$5:AA$5&lt;=$D$2))</x:f>
        <x:v>5</x:v>
      </x:c>
      <x:c r="AC19" s="28" t="n">
        <x:f>SUMPRODUCT(--(P19:AA19="Ejecutado"),--(P$5:AA$5&lt;=$D$2))</x:f>
        <x:v>5</x:v>
      </x:c>
      <x:c r="AD19" s="75" t="n">
        <x:f>IF(AB19=0,0,AC19/AB19)</x:f>
        <x:v>1</x:v>
      </x:c>
      <x:c r="AE19" s="28" t="str">
        <x:f>IF(AD19=1,"Cumplida",IF(AD19&gt;=0.8,"Cumplida con ajustes",IF(AD19&gt;0,"En ejecución","Pendiente")))</x:f>
        <x:v>Cumplida</x:v>
      </x:c>
    </x:row>
    <x:row r="20" ht="20" customHeight="1">
      <x:c r="A20" s="28" t="str">
        <x:v>PAT-014</x:v>
      </x:c>
      <x:c r="B20" s="28" t="n">
        <x:v>2026</x:v>
      </x:c>
      <x:c r="C20" s="28" t="str">
        <x:v>Todas las sedes</x:v>
      </x:c>
      <x:c r="D20" s="28" t="str">
        <x:v>Hacer</x:v>
      </x:c>
      <x:c r="E20" s="28" t="str">
        <x:v>Emergencias</x:v>
      </x:c>
      <x:c r="F20" s="28" t="str">
        <x:v>Brigada y simulacros</x:v>
      </x:c>
      <x:c r="G20" s="28" t="str">
        <x:v>Ejecutar capacitaciones de brigada y simulacros de emergencia</x:v>
      </x:c>
      <x:c r="H20" s="28" t="str">
        <x:v>Fortalecer la preparación ante emergencias</x:v>
      </x:c>
      <x:c r="I20" s="28" t="str">
        <x:v>4 actividades ejecutadas</x:v>
      </x:c>
      <x:c r="J20" s="28" t="str">
        <x:v>% de simulacros/capacitaciones ejecutadas</x:v>
      </x:c>
      <x:c r="K20" s="28" t="str">
        <x:v>Trimestral</x:v>
      </x:c>
      <x:c r="L20" s="28" t="str">
        <x:v>Brigada / SST</x:v>
      </x:c>
      <x:c r="M20" s="73" t="n">
        <x:v>40</x:v>
      </x:c>
      <x:c r="N20" s="74" t="n">
        <x:v>5074700</x:v>
      </x:c>
      <x:c r="O20" s="28" t="str">
        <x:v>Plan de emergencias</x:v>
      </x:c>
      <x:c r="P20" s="28" t="str"/>
      <x:c r="Q20" s="28" t="str"/>
      <x:c r="R20" s="28" t="str">
        <x:v>Ejecutado</x:v>
      </x:c>
      <x:c r="S20" s="28" t="str"/>
      <x:c r="T20" s="28" t="str"/>
      <x:c r="U20" s="28" t="str">
        <x:v>Planeado</x:v>
      </x:c>
      <x:c r="V20" s="28" t="str"/>
      <x:c r="W20" s="28" t="str"/>
      <x:c r="X20" s="28" t="str">
        <x:v>Planeado</x:v>
      </x:c>
      <x:c r="Y20" s="28" t="str"/>
      <x:c r="Z20" s="28" t="str"/>
      <x:c r="AA20" s="28" t="str">
        <x:v>Planeado</x:v>
      </x:c>
      <x:c r="AB20" s="28" t="n">
        <x:f>SUMPRODUCT(--(P20:AA20&lt;&gt;""),--(P$5:AA$5&lt;=$D$2))</x:f>
        <x:v>1</x:v>
      </x:c>
      <x:c r="AC20" s="28" t="n">
        <x:f>SUMPRODUCT(--(P20:AA20="Ejecutado"),--(P$5:AA$5&lt;=$D$2))</x:f>
        <x:v>1</x:v>
      </x:c>
      <x:c r="AD20" s="75" t="n">
        <x:f>IF(AB20=0,0,AC20/AB20)</x:f>
        <x:v>1</x:v>
      </x:c>
      <x:c r="AE20" s="28" t="str">
        <x:f>IF(AD20=1,"Cumplida",IF(AD20&gt;=0.8,"Cumplida con ajustes",IF(AD20&gt;0,"En ejecución","Pendiente")))</x:f>
        <x:v>Cumplida</x:v>
      </x:c>
    </x:row>
    <x:row r="21" ht="20" customHeight="1">
      <x:c r="A21" s="28" t="str">
        <x:v>PAT-015</x:v>
      </x:c>
      <x:c r="B21" s="28" t="n">
        <x:v>2026</x:v>
      </x:c>
      <x:c r="C21" s="28" t="str">
        <x:v>Todas las sedes</x:v>
      </x:c>
      <x:c r="D21" s="28" t="str">
        <x:v>Hacer</x:v>
      </x:c>
      <x:c r="E21" s="28" t="str">
        <x:v>Medicina del trabajo</x:v>
      </x:c>
      <x:c r="F21" s="28" t="str">
        <x:v>Exámenes médicos ocupacionales</x:v>
      </x:c>
      <x:c r="G21" s="28" t="str">
        <x:v>Programar y ejecutar exámenes médicos de ingreso, periódicos y retiro</x:v>
      </x:c>
      <x:c r="H21" s="28" t="str">
        <x:v>Vigilar el estado de salud de la población trabajadora</x:v>
      </x:c>
      <x:c r="I21" s="28" t="str">
        <x:v>2 cortes de seguimiento ejecutados</x:v>
      </x:c>
      <x:c r="J21" s="28" t="str">
        <x:v>% de cobertura de EMO</x:v>
      </x:c>
      <x:c r="K21" s="28" t="str">
        <x:v>Semestral</x:v>
      </x:c>
      <x:c r="L21" s="28" t="str">
        <x:v>Talento Humano / SST</x:v>
      </x:c>
      <x:c r="M21" s="73" t="n">
        <x:v>24</x:v>
      </x:c>
      <x:c r="N21" s="74" t="n">
        <x:v>5799600</x:v>
      </x:c>
      <x:c r="O21" s="28" t="str">
        <x:v>Base EMO</x:v>
      </x:c>
      <x:c r="P21" s="28" t="str"/>
      <x:c r="Q21" s="28" t="str"/>
      <x:c r="R21" s="28" t="str"/>
      <x:c r="S21" s="28" t="str">
        <x:v>Ejecutado</x:v>
      </x:c>
      <x:c r="T21" s="28" t="str"/>
      <x:c r="U21" s="28" t="str"/>
      <x:c r="V21" s="28" t="str"/>
      <x:c r="W21" s="28" t="str"/>
      <x:c r="X21" s="28" t="str"/>
      <x:c r="Y21" s="28" t="str">
        <x:v>Planeado</x:v>
      </x:c>
      <x:c r="Z21" s="28" t="str"/>
      <x:c r="AA21" s="28" t="str"/>
      <x:c r="AB21" s="28" t="n">
        <x:f>SUMPRODUCT(--(P21:AA21&lt;&gt;""),--(P$5:AA$5&lt;=$D$2))</x:f>
        <x:v>1</x:v>
      </x:c>
      <x:c r="AC21" s="28" t="n">
        <x:f>SUMPRODUCT(--(P21:AA21="Ejecutado"),--(P$5:AA$5&lt;=$D$2))</x:f>
        <x:v>1</x:v>
      </x:c>
      <x:c r="AD21" s="75" t="n">
        <x:f>IF(AB21=0,0,AC21/AB21)</x:f>
        <x:v>1</x:v>
      </x:c>
      <x:c r="AE21" s="28" t="str">
        <x:f>IF(AD21=1,"Cumplida",IF(AD21&gt;=0.8,"Cumplida con ajustes",IF(AD21&gt;0,"En ejecución","Pendiente")))</x:f>
        <x:v>Cumplida</x:v>
      </x:c>
    </x:row>
    <x:row r="22" ht="20" customHeight="1">
      <x:c r="A22" s="28" t="str">
        <x:v>PAT-016</x:v>
      </x:c>
      <x:c r="B22" s="28" t="n">
        <x:v>2026</x:v>
      </x:c>
      <x:c r="C22" s="28" t="str">
        <x:v>Todas las sedes</x:v>
      </x:c>
      <x:c r="D22" s="28" t="str">
        <x:v>Hacer</x:v>
      </x:c>
      <x:c r="E22" s="28" t="str">
        <x:v>Peligros y riesgos</x:v>
      </x:c>
      <x:c r="F22" s="28" t="str">
        <x:v>Matriz de peligros</x:v>
      </x:c>
      <x:c r="G22" s="28" t="str">
        <x:v>Actualizar la matriz de identificación de peligros, evaluación y valoración de riesgos</x:v>
      </x:c>
      <x:c r="H22" s="28" t="str">
        <x:v>Mantener controles acordes a los riesgos</x:v>
      </x:c>
      <x:c r="I22" s="28" t="str">
        <x:v>2 actualizaciones ejecutadas</x:v>
      </x:c>
      <x:c r="J22" s="28" t="str">
        <x:v>% de matriz actualizada</x:v>
      </x:c>
      <x:c r="K22" s="28" t="str">
        <x:v>Semestral</x:v>
      </x:c>
      <x:c r="L22" s="28" t="str">
        <x:v>SST / Líderes de proceso</x:v>
      </x:c>
      <x:c r="M22" s="73" t="n">
        <x:v>32</x:v>
      </x:c>
      <x:c r="N22" s="74" t="n">
        <x:v>4228900</x:v>
      </x:c>
      <x:c r="O22" s="28" t="str">
        <x:v>Matriz GTC 45</x:v>
      </x:c>
      <x:c r="P22" s="28" t="str"/>
      <x:c r="Q22" s="28" t="str"/>
      <x:c r="R22" s="28" t="str"/>
      <x:c r="S22" s="28" t="str"/>
      <x:c r="T22" s="28" t="str">
        <x:v>Ejecutado</x:v>
      </x:c>
      <x:c r="U22" s="28" t="str"/>
      <x:c r="V22" s="28" t="str"/>
      <x:c r="W22" s="28" t="str"/>
      <x:c r="X22" s="28" t="str"/>
      <x:c r="Y22" s="28" t="str"/>
      <x:c r="Z22" s="28" t="str">
        <x:v>Planeado</x:v>
      </x:c>
      <x:c r="AA22" s="28" t="str"/>
      <x:c r="AB22" s="28" t="n">
        <x:f>SUMPRODUCT(--(P22:AA22&lt;&gt;""),--(P$5:AA$5&lt;=$D$2))</x:f>
        <x:v>1</x:v>
      </x:c>
      <x:c r="AC22" s="28" t="n">
        <x:f>SUMPRODUCT(--(P22:AA22="Ejecutado"),--(P$5:AA$5&lt;=$D$2))</x:f>
        <x:v>1</x:v>
      </x:c>
      <x:c r="AD22" s="75" t="n">
        <x:f>IF(AB22=0,0,AC22/AB22)</x:f>
        <x:v>1</x:v>
      </x:c>
      <x:c r="AE22" s="28" t="str">
        <x:f>IF(AD22=1,"Cumplida",IF(AD22&gt;=0.8,"Cumplida con ajustes",IF(AD22&gt;0,"En ejecución","Pendiente")))</x:f>
        <x:v>Cumplida</x:v>
      </x:c>
    </x:row>
    <x:row r="23" ht="20" customHeight="1">
      <x:c r="A23" s="28" t="str">
        <x:v>PAT-017</x:v>
      </x:c>
      <x:c r="B23" s="28" t="n">
        <x:v>2026</x:v>
      </x:c>
      <x:c r="C23" s="28" t="str">
        <x:v>Todas las sedes</x:v>
      </x:c>
      <x:c r="D23" s="28" t="str">
        <x:v>Hacer</x:v>
      </x:c>
      <x:c r="E23" s="28" t="str">
        <x:v>EPP</x:v>
      </x:c>
      <x:c r="F23" s="28" t="str">
        <x:v>Gestión de EPP</x:v>
      </x:c>
      <x:c r="G23" s="28" t="str">
        <x:v>Realizar entrega, reposición y seguimiento al uso de elementos de protección personal</x:v>
      </x:c>
      <x:c r="H23" s="28" t="str">
        <x:v>Asegurar protección frente a los riesgos</x:v>
      </x:c>
      <x:c r="I23" s="28" t="str">
        <x:v>4 ciclos de control ejecutados</x:v>
      </x:c>
      <x:c r="J23" s="28" t="str">
        <x:v>% de entregas/control ejecutado</x:v>
      </x:c>
      <x:c r="K23" s="28" t="str">
        <x:v>Trimestral</x:v>
      </x:c>
      <x:c r="L23" s="28" t="str">
        <x:v>Almacén / SST</x:v>
      </x:c>
      <x:c r="M23" s="73" t="n">
        <x:v>28</x:v>
      </x:c>
      <x:c r="N23" s="74" t="n">
        <x:v>6282900</x:v>
      </x:c>
      <x:c r="O23" s="28" t="str">
        <x:v>Inventario / actas</x:v>
      </x:c>
      <x:c r="P23" s="28" t="str"/>
      <x:c r="Q23" s="28" t="str">
        <x:v>Ejecutado</x:v>
      </x:c>
      <x:c r="R23" s="28" t="str"/>
      <x:c r="S23" s="28" t="str"/>
      <x:c r="T23" s="28" t="str">
        <x:v>Ejecutado</x:v>
      </x:c>
      <x:c r="U23" s="28" t="str"/>
      <x:c r="V23" s="28" t="str"/>
      <x:c r="W23" s="28" t="str">
        <x:v>Planeado</x:v>
      </x:c>
      <x:c r="X23" s="28" t="str"/>
      <x:c r="Y23" s="28" t="str"/>
      <x:c r="Z23" s="28" t="str">
        <x:v>Planeado</x:v>
      </x:c>
      <x:c r="AA23" s="28" t="str"/>
      <x:c r="AB23" s="28" t="n">
        <x:f>SUMPRODUCT(--(P23:AA23&lt;&gt;""),--(P$5:AA$5&lt;=$D$2))</x:f>
        <x:v>2</x:v>
      </x:c>
      <x:c r="AC23" s="28" t="n">
        <x:f>SUMPRODUCT(--(P23:AA23="Ejecutado"),--(P$5:AA$5&lt;=$D$2))</x:f>
        <x:v>2</x:v>
      </x:c>
      <x:c r="AD23" s="75" t="n">
        <x:f>IF(AB23=0,0,AC23/AB23)</x:f>
        <x:v>1</x:v>
      </x:c>
      <x:c r="AE23" s="28" t="str">
        <x:f>IF(AD23=1,"Cumplida",IF(AD23&gt;=0.8,"Cumplida con ajustes",IF(AD23&gt;0,"En ejecución","Pendiente")))</x:f>
        <x:v>Cumplida</x:v>
      </x:c>
    </x:row>
    <x:row r="24" ht="20" customHeight="1">
      <x:c r="A24" s="28" t="str">
        <x:v>PAT-018</x:v>
      </x:c>
      <x:c r="B24" s="28" t="n">
        <x:v>2026</x:v>
      </x:c>
      <x:c r="C24" s="28" t="str">
        <x:v>Todas las sedes</x:v>
      </x:c>
      <x:c r="D24" s="28" t="str">
        <x:v>Hacer</x:v>
      </x:c>
      <x:c r="E24" s="28" t="str">
        <x:v>Contratistas</x:v>
      </x:c>
      <x:c r="F24" s="28" t="str">
        <x:v>Seguimiento a contratistas</x:v>
      </x:c>
      <x:c r="G24" s="28" t="str">
        <x:v>Ejecutar verificaciones SST a contratistas y proveedores críticos</x:v>
      </x:c>
      <x:c r="H24" s="28" t="str">
        <x:v>Controlar riesgos derivados de terceros</x:v>
      </x:c>
      <x:c r="I24" s="28" t="str">
        <x:v>4 verificaciones ejecutadas</x:v>
      </x:c>
      <x:c r="J24" s="28" t="str">
        <x:v>% de contratistas evaluados</x:v>
      </x:c>
      <x:c r="K24" s="28" t="str">
        <x:v>Trimestral</x:v>
      </x:c>
      <x:c r="L24" s="28" t="str">
        <x:v>Compras / SST</x:v>
      </x:c>
      <x:c r="M24" s="73" t="n">
        <x:v>24</x:v>
      </x:c>
      <x:c r="N24" s="74" t="n">
        <x:v>2174900</x:v>
      </x:c>
      <x:c r="O24" s="28" t="str">
        <x:v>Formato de evaluación</x:v>
      </x:c>
      <x:c r="P24" s="28" t="str"/>
      <x:c r="Q24" s="28" t="str"/>
      <x:c r="R24" s="28" t="str">
        <x:v>Ejecutado</x:v>
      </x:c>
      <x:c r="S24" s="28" t="str"/>
      <x:c r="T24" s="28" t="str"/>
      <x:c r="U24" s="28" t="str">
        <x:v>Planeado</x:v>
      </x:c>
      <x:c r="V24" s="28" t="str"/>
      <x:c r="W24" s="28" t="str"/>
      <x:c r="X24" s="28" t="str">
        <x:v>Planeado</x:v>
      </x:c>
      <x:c r="Y24" s="28" t="str"/>
      <x:c r="Z24" s="28" t="str"/>
      <x:c r="AA24" s="28" t="str">
        <x:v>Planeado</x:v>
      </x:c>
      <x:c r="AB24" s="28" t="n">
        <x:f>SUMPRODUCT(--(P24:AA24&lt;&gt;""),--(P$5:AA$5&lt;=$D$2))</x:f>
        <x:v>1</x:v>
      </x:c>
      <x:c r="AC24" s="28" t="n">
        <x:f>SUMPRODUCT(--(P24:AA24="Ejecutado"),--(P$5:AA$5&lt;=$D$2))</x:f>
        <x:v>1</x:v>
      </x:c>
      <x:c r="AD24" s="75" t="n">
        <x:f>IF(AB24=0,0,AC24/AB24)</x:f>
        <x:v>1</x:v>
      </x:c>
      <x:c r="AE24" s="28" t="str">
        <x:f>IF(AD24=1,"Cumplida",IF(AD24&gt;=0.8,"Cumplida con ajustes",IF(AD24&gt;0,"En ejecución","Pendiente")))</x:f>
        <x:v>Cumplida</x:v>
      </x:c>
    </x:row>
    <x:row r="25" ht="20" customHeight="1">
      <x:c r="A25" s="28" t="str">
        <x:v>PAT-019</x:v>
      </x:c>
      <x:c r="B25" s="28" t="n">
        <x:v>2026</x:v>
      </x:c>
      <x:c r="C25" s="28" t="str">
        <x:v>Todas las sedes</x:v>
      </x:c>
      <x:c r="D25" s="28" t="str">
        <x:v>Hacer</x:v>
      </x:c>
      <x:c r="E25" s="28" t="str">
        <x:v>Emergencias</x:v>
      </x:c>
      <x:c r="F25" s="28" t="str">
        <x:v>Equipos de emergencia</x:v>
      </x:c>
      <x:c r="G25" s="28" t="str">
        <x:v>Verificar y mantener extintores, botiquines, camillas y señalización</x:v>
      </x:c>
      <x:c r="H25" s="28" t="str">
        <x:v>Asegurar disponibilidad de recursos de emergencia</x:v>
      </x:c>
      <x:c r="I25" s="28" t="str">
        <x:v>12 seguimientos ejecutados</x:v>
      </x:c>
      <x:c r="J25" s="28" t="str">
        <x:v>% de recursos de emergencia operativos</x:v>
      </x:c>
      <x:c r="K25" s="28" t="str">
        <x:v>Mensual</x:v>
      </x:c>
      <x:c r="L25" s="28" t="str">
        <x:v>SST / Mantenimiento</x:v>
      </x:c>
      <x:c r="M25" s="73" t="n">
        <x:v>24</x:v>
      </x:c>
      <x:c r="N25" s="74" t="n">
        <x:v>3141500</x:v>
      </x:c>
      <x:c r="O25" s="28" t="str">
        <x:v>Cronograma mantenimiento</x:v>
      </x:c>
      <x:c r="P25" s="28" t="str">
        <x:v>Ejecutado</x:v>
      </x:c>
      <x:c r="Q25" s="28" t="str">
        <x:v>Ejecutado</x:v>
      </x:c>
      <x:c r="R25" s="28" t="str">
        <x:v>Ejecutado</x:v>
      </x:c>
      <x:c r="S25" s="28" t="str">
        <x:v>Ejecutado</x:v>
      </x:c>
      <x:c r="T25" s="28" t="str">
        <x:v>Ejecutado</x:v>
      </x:c>
      <x:c r="U25" s="28" t="str">
        <x:v>Planeado</x:v>
      </x:c>
      <x:c r="V25" s="28" t="str">
        <x:v>Planeado</x:v>
      </x:c>
      <x:c r="W25" s="28" t="str">
        <x:v>Planeado</x:v>
      </x:c>
      <x:c r="X25" s="28" t="str">
        <x:v>Planeado</x:v>
      </x:c>
      <x:c r="Y25" s="28" t="str">
        <x:v>Planeado</x:v>
      </x:c>
      <x:c r="Z25" s="28" t="str">
        <x:v>Planeado</x:v>
      </x:c>
      <x:c r="AA25" s="28" t="str">
        <x:v>Planeado</x:v>
      </x:c>
      <x:c r="AB25" s="28" t="n">
        <x:f>SUMPRODUCT(--(P25:AA25&lt;&gt;""),--(P$5:AA$5&lt;=$D$2))</x:f>
        <x:v>5</x:v>
      </x:c>
      <x:c r="AC25" s="28" t="n">
        <x:f>SUMPRODUCT(--(P25:AA25="Ejecutado"),--(P$5:AA$5&lt;=$D$2))</x:f>
        <x:v>5</x:v>
      </x:c>
      <x:c r="AD25" s="75" t="n">
        <x:f>IF(AB25=0,0,AC25/AB25)</x:f>
        <x:v>1</x:v>
      </x:c>
      <x:c r="AE25" s="28" t="str">
        <x:f>IF(AD25=1,"Cumplida",IF(AD25&gt;=0.8,"Cumplida con ajustes",IF(AD25&gt;0,"En ejecución","Pendiente")))</x:f>
        <x:v>Cumplida</x:v>
      </x:c>
    </x:row>
    <x:row r="26" ht="20" customHeight="1">
      <x:c r="A26" s="28" t="str">
        <x:v>PAT-020</x:v>
      </x:c>
      <x:c r="B26" s="28" t="n">
        <x:v>2026</x:v>
      </x:c>
      <x:c r="C26" s="28" t="str">
        <x:v>Todas las sedes</x:v>
      </x:c>
      <x:c r="D26" s="28" t="str">
        <x:v>Hacer</x:v>
      </x:c>
      <x:c r="E26" s="28" t="str">
        <x:v>Eventos</x:v>
      </x:c>
      <x:c r="F26" s="28" t="str">
        <x:v>Investigación de incidentes y accidentes</x:v>
      </x:c>
      <x:c r="G26" s="28" t="str">
        <x:v>Investigar eventos reportados y gestionar acciones derivadas</x:v>
      </x:c>
      <x:c r="H26" s="28" t="str">
        <x:v>Controlar recurrencia de eventos</x:v>
      </x:c>
      <x:c r="I26" s="28" t="str">
        <x:v>12 seguimientos mensuales</x:v>
      </x:c>
      <x:c r="J26" s="28" t="str">
        <x:v>% de investigaciones cerradas oportunamente</x:v>
      </x:c>
      <x:c r="K26" s="28" t="str">
        <x:v>Mensual</x:v>
      </x:c>
      <x:c r="L26" s="28" t="str">
        <x:v>SST / Jefes inmediatos</x:v>
      </x:c>
      <x:c r="M26" s="73" t="n">
        <x:v>30</x:v>
      </x:c>
      <x:c r="N26" s="74" t="n">
        <x:v>2658200</x:v>
      </x:c>
      <x:c r="O26" s="28" t="str">
        <x:v>Formatos investigación</x:v>
      </x:c>
      <x:c r="P26" s="28" t="str">
        <x:v>Ejecutado</x:v>
      </x:c>
      <x:c r="Q26" s="28" t="str">
        <x:v>Ejecutado</x:v>
      </x:c>
      <x:c r="R26" s="28" t="str">
        <x:v>Ejecutado</x:v>
      </x:c>
      <x:c r="S26" s="28" t="str">
        <x:v>Ejecutado</x:v>
      </x:c>
      <x:c r="T26" s="28" t="str">
        <x:v>Reprogramado</x:v>
      </x:c>
      <x:c r="U26" s="28" t="str">
        <x:v>Planeado</x:v>
      </x:c>
      <x:c r="V26" s="28" t="str">
        <x:v>Planeado</x:v>
      </x:c>
      <x:c r="W26" s="28" t="str">
        <x:v>Planeado</x:v>
      </x:c>
      <x:c r="X26" s="28" t="str">
        <x:v>Planeado</x:v>
      </x:c>
      <x:c r="Y26" s="28" t="str">
        <x:v>Planeado</x:v>
      </x:c>
      <x:c r="Z26" s="28" t="str">
        <x:v>Planeado</x:v>
      </x:c>
      <x:c r="AA26" s="28" t="str">
        <x:v>Planeado</x:v>
      </x:c>
      <x:c r="AB26" s="28" t="n">
        <x:f>SUMPRODUCT(--(P26:AA26&lt;&gt;""),--(P$5:AA$5&lt;=$D$2))</x:f>
        <x:v>5</x:v>
      </x:c>
      <x:c r="AC26" s="28" t="n">
        <x:f>SUMPRODUCT(--(P26:AA26="Ejecutado"),--(P$5:AA$5&lt;=$D$2))</x:f>
        <x:v>4</x:v>
      </x:c>
      <x:c r="AD26" s="75" t="n">
        <x:f>IF(AB26=0,0,AC26/AB26)</x:f>
        <x:v>0.8</x:v>
      </x:c>
      <x:c r="AE26" s="28" t="str">
        <x:f>IF(AD26=1,"Cumplida",IF(AD26&gt;=0.8,"Cumplida con ajustes",IF(AD26&gt;0,"En ejecución","Pendiente")))</x:f>
        <x:v>Cumplida con ajustes</x:v>
      </x:c>
    </x:row>
    <x:row r="27" ht="20" customHeight="1">
      <x:c r="A27" s="28" t="str">
        <x:v>PAT-021</x:v>
      </x:c>
      <x:c r="B27" s="28" t="n">
        <x:v>2026</x:v>
      </x:c>
      <x:c r="C27" s="28" t="str">
        <x:v>Todas las sedes</x:v>
      </x:c>
      <x:c r="D27" s="28" t="str">
        <x:v>Hacer</x:v>
      </x:c>
      <x:c r="E27" s="28" t="str">
        <x:v>Promoción y prevención</x:v>
      </x:c>
      <x:c r="F27" s="28" t="str">
        <x:v>Programas de vigilancia / PyP</x:v>
      </x:c>
      <x:c r="G27" s="28" t="str">
        <x:v>Ejecutar actividades de promoción y prevención de la salud</x:v>
      </x:c>
      <x:c r="H27" s="28" t="str">
        <x:v>Prevenir afectaciones asociadas a riesgos prioritarios</x:v>
      </x:c>
      <x:c r="I27" s="28" t="str">
        <x:v>4 campañas ejecutadas</x:v>
      </x:c>
      <x:c r="J27" s="28" t="str">
        <x:v>% de campañas ejecutadas</x:v>
      </x:c>
      <x:c r="K27" s="28" t="str">
        <x:v>Trimestral</x:v>
      </x:c>
      <x:c r="L27" s="28" t="str">
        <x:v>SST / Bienestar</x:v>
      </x:c>
      <x:c r="M27" s="73" t="n">
        <x:v>26</x:v>
      </x:c>
      <x:c r="N27" s="74" t="n">
        <x:v>3624800</x:v>
      </x:c>
      <x:c r="O27" s="28" t="str">
        <x:v>Material educativo</x:v>
      </x:c>
      <x:c r="P27" s="28" t="str"/>
      <x:c r="Q27" s="28" t="str">
        <x:v>Ejecutado</x:v>
      </x:c>
      <x:c r="R27" s="28" t="str"/>
      <x:c r="S27" s="28" t="str"/>
      <x:c r="T27" s="28" t="str">
        <x:v>Ejecutado</x:v>
      </x:c>
      <x:c r="U27" s="28" t="str"/>
      <x:c r="V27" s="28" t="str"/>
      <x:c r="W27" s="28" t="str">
        <x:v>Planeado</x:v>
      </x:c>
      <x:c r="X27" s="28" t="str"/>
      <x:c r="Y27" s="28" t="str"/>
      <x:c r="Z27" s="28" t="str">
        <x:v>Planeado</x:v>
      </x:c>
      <x:c r="AA27" s="28" t="str"/>
      <x:c r="AB27" s="28" t="n">
        <x:f>SUMPRODUCT(--(P27:AA27&lt;&gt;""),--(P$5:AA$5&lt;=$D$2))</x:f>
        <x:v>2</x:v>
      </x:c>
      <x:c r="AC27" s="28" t="n">
        <x:f>SUMPRODUCT(--(P27:AA27="Ejecutado"),--(P$5:AA$5&lt;=$D$2))</x:f>
        <x:v>2</x:v>
      </x:c>
      <x:c r="AD27" s="75" t="n">
        <x:f>IF(AB27=0,0,AC27/AB27)</x:f>
        <x:v>1</x:v>
      </x:c>
      <x:c r="AE27" s="28" t="str">
        <x:f>IF(AD27=1,"Cumplida",IF(AD27&gt;=0.8,"Cumplida con ajustes",IF(AD27&gt;0,"En ejecución","Pendiente")))</x:f>
        <x:v>Cumplida</x:v>
      </x:c>
    </x:row>
    <x:row r="28" ht="20" customHeight="1">
      <x:c r="A28" s="28" t="str">
        <x:v>PAT-022</x:v>
      </x:c>
      <x:c r="B28" s="28" t="n">
        <x:v>2026</x:v>
      </x:c>
      <x:c r="C28" s="28" t="str">
        <x:v>Todas las sedes</x:v>
      </x:c>
      <x:c r="D28" s="28" t="str">
        <x:v>Hacer</x:v>
      </x:c>
      <x:c r="E28" s="28" t="str">
        <x:v>Psicosocial</x:v>
      </x:c>
      <x:c r="F28" s="28" t="str">
        <x:v>Bienestar y riesgo psicosocial</x:v>
      </x:c>
      <x:c r="G28" s="28" t="str">
        <x:v>Desarrollar actividades de bienestar, convivencia y gestión del riesgo psicosocial</x:v>
      </x:c>
      <x:c r="H28" s="28" t="str">
        <x:v>Fortalecer factores protectores</x:v>
      </x:c>
      <x:c r="I28" s="28" t="str">
        <x:v>2 jornadas ejecutadas</x:v>
      </x:c>
      <x:c r="J28" s="28" t="str">
        <x:v>% de actividades psicosociales ejecutadas</x:v>
      </x:c>
      <x:c r="K28" s="28" t="str">
        <x:v>Semestral</x:v>
      </x:c>
      <x:c r="L28" s="28" t="str">
        <x:v>Talento Humano / SST</x:v>
      </x:c>
      <x:c r="M28" s="73" t="n">
        <x:v>20</x:v>
      </x:c>
      <x:c r="N28" s="74" t="n">
        <x:v>3020600</x:v>
      </x:c>
      <x:c r="O28" s="28" t="str">
        <x:v>Encuestas / talleres</x:v>
      </x:c>
      <x:c r="P28" s="28" t="str"/>
      <x:c r="Q28" s="28" t="str"/>
      <x:c r="R28" s="28" t="str"/>
      <x:c r="S28" s="28" t="str">
        <x:v>Ejecutado</x:v>
      </x:c>
      <x:c r="T28" s="28" t="str"/>
      <x:c r="U28" s="28" t="str"/>
      <x:c r="V28" s="28" t="str"/>
      <x:c r="W28" s="28" t="str"/>
      <x:c r="X28" s="28" t="str"/>
      <x:c r="Y28" s="28" t="str">
        <x:v>Planeado</x:v>
      </x:c>
      <x:c r="Z28" s="28" t="str"/>
      <x:c r="AA28" s="28" t="str"/>
      <x:c r="AB28" s="28" t="n">
        <x:f>SUMPRODUCT(--(P28:AA28&lt;&gt;""),--(P$5:AA$5&lt;=$D$2))</x:f>
        <x:v>1</x:v>
      </x:c>
      <x:c r="AC28" s="28" t="n">
        <x:f>SUMPRODUCT(--(P28:AA28="Ejecutado"),--(P$5:AA$5&lt;=$D$2))</x:f>
        <x:v>1</x:v>
      </x:c>
      <x:c r="AD28" s="75" t="n">
        <x:f>IF(AB28=0,0,AC28/AB28)</x:f>
        <x:v>1</x:v>
      </x:c>
      <x:c r="AE28" s="28" t="str">
        <x:f>IF(AD28=1,"Cumplida",IF(AD28&gt;=0.8,"Cumplida con ajustes",IF(AD28&gt;0,"En ejecución","Pendiente")))</x:f>
        <x:v>Cumplida</x:v>
      </x:c>
    </x:row>
    <x:row r="29" ht="20" customHeight="1">
      <x:c r="A29" s="28" t="str">
        <x:v>PAT-023</x:v>
      </x:c>
      <x:c r="B29" s="28" t="n">
        <x:v>2026</x:v>
      </x:c>
      <x:c r="C29" s="28" t="str">
        <x:v>Todas las sedes</x:v>
      </x:c>
      <x:c r="D29" s="28" t="str">
        <x:v>Hacer</x:v>
      </x:c>
      <x:c r="E29" s="28" t="str">
        <x:v>Capacitación</x:v>
      </x:c>
      <x:c r="F29" s="28" t="str">
        <x:v>Ejecución del plan de capacitación</x:v>
      </x:c>
      <x:c r="G29" s="28" t="str">
        <x:v>Ejecutar el cronograma de formación y capacitaciones SST</x:v>
      </x:c>
      <x:c r="H29" s="28" t="str">
        <x:v>Garantizar cumplimiento del plan anual de formación</x:v>
      </x:c>
      <x:c r="I29" s="28" t="str">
        <x:v>12 actividades ejecutadas</x:v>
      </x:c>
      <x:c r="J29" s="28" t="str">
        <x:v>% de cumplimiento del plan de formación</x:v>
      </x:c>
      <x:c r="K29" s="28" t="str">
        <x:v>Mensual</x:v>
      </x:c>
      <x:c r="L29" s="28" t="str">
        <x:v>SST / Talento Humano</x:v>
      </x:c>
      <x:c r="M29" s="73" t="n">
        <x:v>36</x:v>
      </x:c>
      <x:c r="N29" s="74" t="n">
        <x:v>5074700</x:v>
      </x:c>
      <x:c r="O29" s="28" t="str">
        <x:v>Plan de formación</x:v>
      </x:c>
      <x:c r="P29" s="28" t="str">
        <x:v>Ejecutado</x:v>
      </x:c>
      <x:c r="Q29" s="28" t="str">
        <x:v>Ejecutado</x:v>
      </x:c>
      <x:c r="R29" s="28" t="str">
        <x:v>Ejecutado</x:v>
      </x:c>
      <x:c r="S29" s="28" t="str">
        <x:v>Ejecutado</x:v>
      </x:c>
      <x:c r="T29" s="28" t="str">
        <x:v>Ejecutado</x:v>
      </x:c>
      <x:c r="U29" s="28" t="str">
        <x:v>Planeado</x:v>
      </x:c>
      <x:c r="V29" s="28" t="str">
        <x:v>Planeado</x:v>
      </x:c>
      <x:c r="W29" s="28" t="str">
        <x:v>Planeado</x:v>
      </x:c>
      <x:c r="X29" s="28" t="str">
        <x:v>Planeado</x:v>
      </x:c>
      <x:c r="Y29" s="28" t="str">
        <x:v>Planeado</x:v>
      </x:c>
      <x:c r="Z29" s="28" t="str">
        <x:v>Planeado</x:v>
      </x:c>
      <x:c r="AA29" s="28" t="str">
        <x:v>Planeado</x:v>
      </x:c>
      <x:c r="AB29" s="28" t="n">
        <x:f>SUMPRODUCT(--(P29:AA29&lt;&gt;""),--(P$5:AA$5&lt;=$D$2))</x:f>
        <x:v>5</x:v>
      </x:c>
      <x:c r="AC29" s="28" t="n">
        <x:f>SUMPRODUCT(--(P29:AA29="Ejecutado"),--(P$5:AA$5&lt;=$D$2))</x:f>
        <x:v>5</x:v>
      </x:c>
      <x:c r="AD29" s="75" t="n">
        <x:f>IF(AB29=0,0,AC29/AB29)</x:f>
        <x:v>1</x:v>
      </x:c>
      <x:c r="AE29" s="28" t="str">
        <x:f>IF(AD29=1,"Cumplida",IF(AD29&gt;=0.8,"Cumplida con ajustes",IF(AD29&gt;0,"En ejecución","Pendiente")))</x:f>
        <x:v>Cumplida</x:v>
      </x:c>
    </x:row>
    <x:row r="30" ht="20" customHeight="1">
      <x:c r="A30" s="28" t="str">
        <x:v>PAT-024</x:v>
      </x:c>
      <x:c r="B30" s="28" t="n">
        <x:v>2026</x:v>
      </x:c>
      <x:c r="C30" s="28" t="str">
        <x:v>Todas las sedes</x:v>
      </x:c>
      <x:c r="D30" s="28" t="str">
        <x:v>Hacer</x:v>
      </x:c>
      <x:c r="E30" s="28" t="str">
        <x:v>Infraestructura</x:v>
      </x:c>
      <x:c r="F30" s="28" t="str">
        <x:v>Mantenimiento preventivo</x:v>
      </x:c>
      <x:c r="G30" s="28" t="str">
        <x:v>Realizar mantenimiento preventivo a equipos críticos e infraestructura asociada a SST</x:v>
      </x:c>
      <x:c r="H30" s="28" t="str">
        <x:v>Garantizar condiciones seguras de operación</x:v>
      </x:c>
      <x:c r="I30" s="28" t="str">
        <x:v>12 mantenimientos/seguimientos ejecutados</x:v>
      </x:c>
      <x:c r="J30" s="28" t="str">
        <x:v>% de mantenimiento preventivo ejecutado</x:v>
      </x:c>
      <x:c r="K30" s="28" t="str">
        <x:v>Mensual</x:v>
      </x:c>
      <x:c r="L30" s="28" t="str">
        <x:v>Mantenimiento / SST</x:v>
      </x:c>
      <x:c r="M30" s="73" t="n">
        <x:v>36</x:v>
      </x:c>
      <x:c r="N30" s="74" t="n">
        <x:v>6766200</x:v>
      </x:c>
      <x:c r="O30" s="28" t="str">
        <x:v>Cronograma mantenimiento</x:v>
      </x:c>
      <x:c r="P30" s="28" t="str">
        <x:v>Ejecutado</x:v>
      </x:c>
      <x:c r="Q30" s="28" t="str">
        <x:v>Ejecutado</x:v>
      </x:c>
      <x:c r="R30" s="28" t="str">
        <x:v>Ejecutado</x:v>
      </x:c>
      <x:c r="S30" s="28" t="str">
        <x:v>Ejecutado</x:v>
      </x:c>
      <x:c r="T30" s="28" t="str">
        <x:v>Ejecutado</x:v>
      </x:c>
      <x:c r="U30" s="28" t="str">
        <x:v>Planeado</x:v>
      </x:c>
      <x:c r="V30" s="28" t="str">
        <x:v>Planeado</x:v>
      </x:c>
      <x:c r="W30" s="28" t="str">
        <x:v>Planeado</x:v>
      </x:c>
      <x:c r="X30" s="28" t="str">
        <x:v>Planeado</x:v>
      </x:c>
      <x:c r="Y30" s="28" t="str">
        <x:v>Planeado</x:v>
      </x:c>
      <x:c r="Z30" s="28" t="str">
        <x:v>Planeado</x:v>
      </x:c>
      <x:c r="AA30" s="28" t="str">
        <x:v>Planeado</x:v>
      </x:c>
      <x:c r="AB30" s="28" t="n">
        <x:f>SUMPRODUCT(--(P30:AA30&lt;&gt;""),--(P$5:AA$5&lt;=$D$2))</x:f>
        <x:v>5</x:v>
      </x:c>
      <x:c r="AC30" s="28" t="n">
        <x:f>SUMPRODUCT(--(P30:AA30="Ejecutado"),--(P$5:AA$5&lt;=$D$2))</x:f>
        <x:v>5</x:v>
      </x:c>
      <x:c r="AD30" s="75" t="n">
        <x:f>IF(AB30=0,0,AC30/AB30)</x:f>
        <x:v>1</x:v>
      </x:c>
      <x:c r="AE30" s="28" t="str">
        <x:f>IF(AD30=1,"Cumplida",IF(AD30&gt;=0.8,"Cumplida con ajustes",IF(AD30&gt;0,"En ejecución","Pendiente")))</x:f>
        <x:v>Cumplida</x:v>
      </x:c>
    </x:row>
    <x:row r="31" ht="20" customHeight="1">
      <x:c r="A31" s="28" t="str">
        <x:v>PAT-025</x:v>
      </x:c>
      <x:c r="B31" s="28" t="n">
        <x:v>2026</x:v>
      </x:c>
      <x:c r="C31" s="28" t="str">
        <x:v>Todas las sedes</x:v>
      </x:c>
      <x:c r="D31" s="28" t="str">
        <x:v>Verificar</x:v>
      </x:c>
      <x:c r="E31" s="28" t="str">
        <x:v>Indicadores</x:v>
      </x:c>
      <x:c r="F31" s="28" t="str">
        <x:v>Medición de indicadores</x:v>
      </x:c>
      <x:c r="G31" s="28" t="str">
        <x:v>Medir y analizar mensualmente los indicadores de estructura, proceso y resultado del SG-SST</x:v>
      </x:c>
      <x:c r="H31" s="28" t="str">
        <x:v>Hacer seguimiento al desempeño del sistema</x:v>
      </x:c>
      <x:c r="I31" s="28" t="str">
        <x:v>12 mediciones realizadas</x:v>
      </x:c>
      <x:c r="J31" s="28" t="str">
        <x:v>% de indicadores reportados oportunamente</x:v>
      </x:c>
      <x:c r="K31" s="28" t="str">
        <x:v>Mensual</x:v>
      </x:c>
      <x:c r="L31" s="28" t="str">
        <x:v>SST / Gerencia</x:v>
      </x:c>
      <x:c r="M31" s="73" t="n">
        <x:v>24</x:v>
      </x:c>
      <x:c r="N31" s="74" t="n">
        <x:v>1812400</x:v>
      </x:c>
      <x:c r="O31" s="28" t="str">
        <x:v>Dashboard / Looker</x:v>
      </x:c>
      <x:c r="P31" s="28" t="str">
        <x:v>Ejecutado</x:v>
      </x:c>
      <x:c r="Q31" s="28" t="str">
        <x:v>Ejecutado</x:v>
      </x:c>
      <x:c r="R31" s="28" t="str">
        <x:v>Ejecutado</x:v>
      </x:c>
      <x:c r="S31" s="28" t="str">
        <x:v>Ejecutado</x:v>
      </x:c>
      <x:c r="T31" s="28" t="str">
        <x:v>Ejecutado</x:v>
      </x:c>
      <x:c r="U31" s="28" t="str">
        <x:v>Planeado</x:v>
      </x:c>
      <x:c r="V31" s="28" t="str">
        <x:v>Planeado</x:v>
      </x:c>
      <x:c r="W31" s="28" t="str">
        <x:v>Planeado</x:v>
      </x:c>
      <x:c r="X31" s="28" t="str">
        <x:v>Planeado</x:v>
      </x:c>
      <x:c r="Y31" s="28" t="str">
        <x:v>Planeado</x:v>
      </x:c>
      <x:c r="Z31" s="28" t="str">
        <x:v>Planeado</x:v>
      </x:c>
      <x:c r="AA31" s="28" t="str">
        <x:v>Planeado</x:v>
      </x:c>
      <x:c r="AB31" s="28" t="n">
        <x:f>SUMPRODUCT(--(P31:AA31&lt;&gt;""),--(P$5:AA$5&lt;=$D$2))</x:f>
        <x:v>5</x:v>
      </x:c>
      <x:c r="AC31" s="28" t="n">
        <x:f>SUMPRODUCT(--(P31:AA31="Ejecutado"),--(P$5:AA$5&lt;=$D$2))</x:f>
        <x:v>5</x:v>
      </x:c>
      <x:c r="AD31" s="75" t="n">
        <x:f>IF(AB31=0,0,AC31/AB31)</x:f>
        <x:v>1</x:v>
      </x:c>
      <x:c r="AE31" s="28" t="str">
        <x:f>IF(AD31=1,"Cumplida",IF(AD31&gt;=0.8,"Cumplida con ajustes",IF(AD31&gt;0,"En ejecución","Pendiente")))</x:f>
        <x:v>Cumplida</x:v>
      </x:c>
    </x:row>
    <x:row r="32" ht="20" customHeight="1">
      <x:c r="A32" s="28" t="str">
        <x:v>PAT-026</x:v>
      </x:c>
      <x:c r="B32" s="28" t="n">
        <x:v>2026</x:v>
      </x:c>
      <x:c r="C32" s="28" t="str">
        <x:v>Todas las sedes</x:v>
      </x:c>
      <x:c r="D32" s="28" t="str">
        <x:v>Verificar</x:v>
      </x:c>
      <x:c r="E32" s="28" t="str">
        <x:v>Requisitos legales</x:v>
      </x:c>
      <x:c r="F32" s="28" t="str">
        <x:v>Revisión de cumplimiento legal</x:v>
      </x:c>
      <x:c r="G32" s="28" t="str">
        <x:v>Verificar trimestralmente el cumplimiento de requisitos legales aplicables</x:v>
      </x:c>
      <x:c r="H32" s="28" t="str">
        <x:v>Detectar incumplimientos y definir acciones</x:v>
      </x:c>
      <x:c r="I32" s="28" t="str">
        <x:v>4 revisiones ejecutadas</x:v>
      </x:c>
      <x:c r="J32" s="28" t="str">
        <x:v>% de revisión legal ejecutada</x:v>
      </x:c>
      <x:c r="K32" s="28" t="str">
        <x:v>Trimestral</x:v>
      </x:c>
      <x:c r="L32" s="28" t="str">
        <x:v>SST / Jurídica</x:v>
      </x:c>
      <x:c r="M32" s="73" t="n">
        <x:v>18</x:v>
      </x:c>
      <x:c r="N32" s="74" t="n">
        <x:v>1691600</x:v>
      </x:c>
      <x:c r="O32" s="28" t="str">
        <x:v>Matriz legal</x:v>
      </x:c>
      <x:c r="P32" s="28" t="str"/>
      <x:c r="Q32" s="28" t="str"/>
      <x:c r="R32" s="28" t="str">
        <x:v>Ejecutado</x:v>
      </x:c>
      <x:c r="S32" s="28" t="str"/>
      <x:c r="T32" s="28" t="str"/>
      <x:c r="U32" s="28" t="str">
        <x:v>Planeado</x:v>
      </x:c>
      <x:c r="V32" s="28" t="str"/>
      <x:c r="W32" s="28" t="str"/>
      <x:c r="X32" s="28" t="str">
        <x:v>Planeado</x:v>
      </x:c>
      <x:c r="Y32" s="28" t="str"/>
      <x:c r="Z32" s="28" t="str"/>
      <x:c r="AA32" s="28" t="str">
        <x:v>Planeado</x:v>
      </x:c>
      <x:c r="AB32" s="28" t="n">
        <x:f>SUMPRODUCT(--(P32:AA32&lt;&gt;""),--(P$5:AA$5&lt;=$D$2))</x:f>
        <x:v>1</x:v>
      </x:c>
      <x:c r="AC32" s="28" t="n">
        <x:f>SUMPRODUCT(--(P32:AA32="Ejecutado"),--(P$5:AA$5&lt;=$D$2))</x:f>
        <x:v>1</x:v>
      </x:c>
      <x:c r="AD32" s="75" t="n">
        <x:f>IF(AB32=0,0,AC32/AB32)</x:f>
        <x:v>1</x:v>
      </x:c>
      <x:c r="AE32" s="28" t="str">
        <x:f>IF(AD32=1,"Cumplida",IF(AD32&gt;=0.8,"Cumplida con ajustes",IF(AD32&gt;0,"En ejecución","Pendiente")))</x:f>
        <x:v>Cumplida</x:v>
      </x:c>
    </x:row>
    <x:row r="33" ht="20" customHeight="1">
      <x:c r="A33" s="28" t="str">
        <x:v>PAT-027</x:v>
      </x:c>
      <x:c r="B33" s="28" t="n">
        <x:v>2026</x:v>
      </x:c>
      <x:c r="C33" s="28" t="str">
        <x:v>Todas las sedes</x:v>
      </x:c>
      <x:c r="D33" s="28" t="str">
        <x:v>Verificar</x:v>
      </x:c>
      <x:c r="E33" s="28" t="str">
        <x:v>Auditoría</x:v>
      </x:c>
      <x:c r="F33" s="28" t="str">
        <x:v>Auditoría interna SG-SST</x:v>
      </x:c>
      <x:c r="G33" s="28" t="str">
        <x:v>Programar y ejecutar auditoría interna del SG-SST</x:v>
      </x:c>
      <x:c r="H33" s="28" t="str">
        <x:v>Evaluar la eficacia del sistema</x:v>
      </x:c>
      <x:c r="I33" s="28" t="str">
        <x:v>1 auditoría realizada</x:v>
      </x:c>
      <x:c r="J33" s="28" t="str">
        <x:v>Auditoría interna ejecutada</x:v>
      </x:c>
      <x:c r="K33" s="28" t="str">
        <x:v>Anual</x:v>
      </x:c>
      <x:c r="L33" s="28" t="str">
        <x:v>Auditor interno / SST</x:v>
      </x:c>
      <x:c r="M33" s="73" t="n">
        <x:v>40</x:v>
      </x:c>
      <x:c r="N33" s="74" t="n">
        <x:v>3624800</x:v>
      </x:c>
      <x:c r="O33" s="28" t="str">
        <x:v>Programa de auditoría</x:v>
      </x:c>
      <x:c r="P33" s="28" t="str"/>
      <x:c r="Q33" s="28" t="str"/>
      <x:c r="R33" s="28" t="str"/>
      <x:c r="S33" s="28" t="str"/>
      <x:c r="T33" s="28" t="str"/>
      <x:c r="U33" s="28" t="str"/>
      <x:c r="V33" s="28" t="str"/>
      <x:c r="W33" s="28" t="str">
        <x:v>Planeado</x:v>
      </x:c>
      <x:c r="X33" s="28" t="str"/>
      <x:c r="Y33" s="28" t="str"/>
      <x:c r="Z33" s="28" t="str"/>
      <x:c r="AA33" s="28" t="str"/>
      <x:c r="AB33" s="28" t="n">
        <x:f>SUMPRODUCT(--(P33:AA33&lt;&gt;""),--(P$5:AA$5&lt;=$D$2))</x:f>
        <x:v>0</x:v>
      </x:c>
      <x:c r="AC33" s="28" t="n">
        <x:f>SUMPRODUCT(--(P33:AA33="Ejecutado"),--(P$5:AA$5&lt;=$D$2))</x:f>
        <x:v>0</x:v>
      </x:c>
      <x:c r="AD33" s="75" t="n">
        <x:f>IF(AB33=0,0,AC33/AB33)</x:f>
        <x:v>0</x:v>
      </x:c>
      <x:c r="AE33" s="28" t="str">
        <x:f>IF(AD33=1,"Cumplida",IF(AD33&gt;=0.8,"Cumplida con ajustes",IF(AD33&gt;0,"En ejecución","Pendiente")))</x:f>
        <x:v>Pendiente</x:v>
      </x:c>
    </x:row>
    <x:row r="34" ht="20" customHeight="1">
      <x:c r="A34" s="28" t="str">
        <x:v>PAT-028</x:v>
      </x:c>
      <x:c r="B34" s="28" t="n">
        <x:v>2026</x:v>
      </x:c>
      <x:c r="C34" s="28" t="str">
        <x:v>Todas las sedes</x:v>
      </x:c>
      <x:c r="D34" s="28" t="str">
        <x:v>Verificar</x:v>
      </x:c>
      <x:c r="E34" s="28" t="str">
        <x:v>Mejora continua</x:v>
      </x:c>
      <x:c r="F34" s="28" t="str">
        <x:v>Seguimiento a planes de acción</x:v>
      </x:c>
      <x:c r="G34" s="28" t="str">
        <x:v>Verificar el cierre de acciones correctivas, preventivas y de mejora</x:v>
      </x:c>
      <x:c r="H34" s="28" t="str">
        <x:v>Asegurar eficacia de las acciones</x:v>
      </x:c>
      <x:c r="I34" s="28" t="str">
        <x:v>12 seguimientos ejecutados</x:v>
      </x:c>
      <x:c r="J34" s="28" t="str">
        <x:v>% de acciones cerradas</x:v>
      </x:c>
      <x:c r="K34" s="28" t="str">
        <x:v>Mensual</x:v>
      </x:c>
      <x:c r="L34" s="28" t="str">
        <x:v>SST / Responsables de proceso</x:v>
      </x:c>
      <x:c r="M34" s="73" t="n">
        <x:v>24</x:v>
      </x:c>
      <x:c r="N34" s="74" t="n">
        <x:v>2174900</x:v>
      </x:c>
      <x:c r="O34" s="28" t="str">
        <x:v>Matriz APCM</x:v>
      </x:c>
      <x:c r="P34" s="28" t="str">
        <x:v>Ejecutado</x:v>
      </x:c>
      <x:c r="Q34" s="28" t="str">
        <x:v>Ejecutado</x:v>
      </x:c>
      <x:c r="R34" s="28" t="str">
        <x:v>Ejecutado</x:v>
      </x:c>
      <x:c r="S34" s="28" t="str">
        <x:v>Ejecutado</x:v>
      </x:c>
      <x:c r="T34" s="28" t="str">
        <x:v>Reprogramado</x:v>
      </x:c>
      <x:c r="U34" s="28" t="str">
        <x:v>Planeado</x:v>
      </x:c>
      <x:c r="V34" s="28" t="str">
        <x:v>Planeado</x:v>
      </x:c>
      <x:c r="W34" s="28" t="str">
        <x:v>Planeado</x:v>
      </x:c>
      <x:c r="X34" s="28" t="str">
        <x:v>Planeado</x:v>
      </x:c>
      <x:c r="Y34" s="28" t="str">
        <x:v>Planeado</x:v>
      </x:c>
      <x:c r="Z34" s="28" t="str">
        <x:v>Planeado</x:v>
      </x:c>
      <x:c r="AA34" s="28" t="str">
        <x:v>Planeado</x:v>
      </x:c>
      <x:c r="AB34" s="28" t="n">
        <x:f>SUMPRODUCT(--(P34:AA34&lt;&gt;""),--(P$5:AA$5&lt;=$D$2))</x:f>
        <x:v>5</x:v>
      </x:c>
      <x:c r="AC34" s="28" t="n">
        <x:f>SUMPRODUCT(--(P34:AA34="Ejecutado"),--(P$5:AA$5&lt;=$D$2))</x:f>
        <x:v>4</x:v>
      </x:c>
      <x:c r="AD34" s="75" t="n">
        <x:f>IF(AB34=0,0,AC34/AB34)</x:f>
        <x:v>0.8</x:v>
      </x:c>
      <x:c r="AE34" s="28" t="str">
        <x:f>IF(AD34=1,"Cumplida",IF(AD34&gt;=0.8,"Cumplida con ajustes",IF(AD34&gt;0,"En ejecución","Pendiente")))</x:f>
        <x:v>Cumplida con ajustes</x:v>
      </x:c>
    </x:row>
    <x:row r="35" ht="20" customHeight="1">
      <x:c r="A35" s="28" t="str">
        <x:v>PAT-029</x:v>
      </x:c>
      <x:c r="B35" s="28" t="n">
        <x:v>2026</x:v>
      </x:c>
      <x:c r="C35" s="28" t="str">
        <x:v>Todas las sedes</x:v>
      </x:c>
      <x:c r="D35" s="28" t="str">
        <x:v>Verificar</x:v>
      </x:c>
      <x:c r="E35" s="28" t="str">
        <x:v>Evaluación del sistema</x:v>
      </x:c>
      <x:c r="F35" s="28" t="str">
        <x:v>Revisión final de estándares 0312</x:v>
      </x:c>
      <x:c r="G35" s="28" t="str">
        <x:v>Realizar evaluación de cierre del cumplimiento anual de estándares mínimos</x:v>
      </x:c>
      <x:c r="H35" s="28" t="str">
        <x:v>Medir avance anual del sistema</x:v>
      </x:c>
      <x:c r="I35" s="28" t="str">
        <x:v>1 evaluación de cierre ejecutada</x:v>
      </x:c>
      <x:c r="J35" s="28" t="str">
        <x:v>Resultado de autodiagnóstico de cierre</x:v>
      </x:c>
      <x:c r="K35" s="28" t="str">
        <x:v>Anual</x:v>
      </x:c>
      <x:c r="L35" s="28" t="str">
        <x:v>SST</x:v>
      </x:c>
      <x:c r="M35" s="73" t="n">
        <x:v>16</x:v>
      </x:c>
      <x:c r="N35" s="74" t="n">
        <x:v>1449900</x:v>
      </x:c>
      <x:c r="O35" s="28" t="str">
        <x:v>Autodiagnóstico</x:v>
      </x:c>
      <x:c r="P35" s="28" t="str"/>
      <x:c r="Q35" s="28" t="str"/>
      <x:c r="R35" s="28" t="str"/>
      <x:c r="S35" s="28" t="str"/>
      <x:c r="T35" s="28" t="str"/>
      <x:c r="U35" s="28" t="str"/>
      <x:c r="V35" s="28" t="str"/>
      <x:c r="W35" s="28" t="str"/>
      <x:c r="X35" s="28" t="str"/>
      <x:c r="Y35" s="28" t="str"/>
      <x:c r="Z35" s="28" t="str">
        <x:v>Planeado</x:v>
      </x:c>
      <x:c r="AA35" s="28" t="str"/>
      <x:c r="AB35" s="28" t="n">
        <x:f>SUMPRODUCT(--(P35:AA35&lt;&gt;""),--(P$5:AA$5&lt;=$D$2))</x:f>
        <x:v>0</x:v>
      </x:c>
      <x:c r="AC35" s="28" t="n">
        <x:f>SUMPRODUCT(--(P35:AA35="Ejecutado"),--(P$5:AA$5&lt;=$D$2))</x:f>
        <x:v>0</x:v>
      </x:c>
      <x:c r="AD35" s="75" t="n">
        <x:f>IF(AB35=0,0,AC35/AB35)</x:f>
        <x:v>0</x:v>
      </x:c>
      <x:c r="AE35" s="28" t="str">
        <x:f>IF(AD35=1,"Cumplida",IF(AD35&gt;=0.8,"Cumplida con ajustes",IF(AD35&gt;0,"En ejecución","Pendiente")))</x:f>
        <x:v>Pendiente</x:v>
      </x:c>
    </x:row>
    <x:row r="36" ht="20" customHeight="1">
      <x:c r="A36" s="28" t="str">
        <x:v>PAT-030</x:v>
      </x:c>
      <x:c r="B36" s="28" t="n">
        <x:v>2026</x:v>
      </x:c>
      <x:c r="C36" s="28" t="str">
        <x:v>Todas las sedes</x:v>
      </x:c>
      <x:c r="D36" s="28" t="str">
        <x:v>Actuar</x:v>
      </x:c>
      <x:c r="E36" s="28" t="str">
        <x:v>Dirección</x:v>
      </x:c>
      <x:c r="F36" s="28" t="str">
        <x:v>Revisión por la dirección</x:v>
      </x:c>
      <x:c r="G36" s="28" t="str">
        <x:v>Realizar revisión por la dirección del SG-SST con análisis de resultados y decisiones</x:v>
      </x:c>
      <x:c r="H36" s="28" t="str">
        <x:v>Definir acciones de mejora y recursos</x:v>
      </x:c>
      <x:c r="I36" s="28" t="str">
        <x:v>1 revisión por la dirección realizada</x:v>
      </x:c>
      <x:c r="J36" s="28" t="str">
        <x:v>Acta de revisión por la dirección</x:v>
      </x:c>
      <x:c r="K36" s="28" t="str">
        <x:v>Anual</x:v>
      </x:c>
      <x:c r="L36" s="28" t="str">
        <x:v>Gerencia / SST</x:v>
      </x:c>
      <x:c r="M36" s="73" t="n">
        <x:v>20</x:v>
      </x:c>
      <x:c r="N36" s="74" t="n">
        <x:v>1812400</x:v>
      </x:c>
      <x:c r="O36" s="28" t="str">
        <x:v>Informe ejecutivo</x:v>
      </x:c>
      <x:c r="P36" s="28" t="str"/>
      <x:c r="Q36" s="28" t="str"/>
      <x:c r="R36" s="28" t="str"/>
      <x:c r="S36" s="28" t="str"/>
      <x:c r="T36" s="28" t="str"/>
      <x:c r="U36" s="28" t="str"/>
      <x:c r="V36" s="28" t="str"/>
      <x:c r="W36" s="28" t="str"/>
      <x:c r="X36" s="28" t="str"/>
      <x:c r="Y36" s="28" t="str"/>
      <x:c r="Z36" s="28" t="str"/>
      <x:c r="AA36" s="28" t="str">
        <x:v>Planeado</x:v>
      </x:c>
      <x:c r="AB36" s="28" t="n">
        <x:f>SUMPRODUCT(--(P36:AA36&lt;&gt;""),--(P$5:AA$5&lt;=$D$2))</x:f>
        <x:v>0</x:v>
      </x:c>
      <x:c r="AC36" s="28" t="n">
        <x:f>SUMPRODUCT(--(P36:AA36="Ejecutado"),--(P$5:AA$5&lt;=$D$2))</x:f>
        <x:v>0</x:v>
      </x:c>
      <x:c r="AD36" s="75" t="n">
        <x:f>IF(AB36=0,0,AC36/AB36)</x:f>
        <x:v>0</x:v>
      </x:c>
      <x:c r="AE36" s="28" t="str">
        <x:f>IF(AD36=1,"Cumplida",IF(AD36&gt;=0.8,"Cumplida con ajustes",IF(AD36&gt;0,"En ejecución","Pendiente")))</x:f>
        <x:v>Pendiente</x:v>
      </x:c>
    </x:row>
    <x:row r="37" ht="20" customHeight="1">
      <x:c r="A37" s="28" t="str">
        <x:v>PAT-031</x:v>
      </x:c>
      <x:c r="B37" s="28" t="n">
        <x:v>2026</x:v>
      </x:c>
      <x:c r="C37" s="28" t="str">
        <x:v>Todas las sedes</x:v>
      </x:c>
      <x:c r="D37" s="28" t="str">
        <x:v>Actuar</x:v>
      </x:c>
      <x:c r="E37" s="28" t="str">
        <x:v>Mejora continua</x:v>
      </x:c>
      <x:c r="F37" s="28" t="str">
        <x:v>Plan de mejoramiento</x:v>
      </x:c>
      <x:c r="G37" s="28" t="str">
        <x:v>Actualizar y ejecutar el plan de mejoramiento del SG-SST</x:v>
      </x:c>
      <x:c r="H37" s="28" t="str">
        <x:v>Cerrar brechas identificadas</x:v>
      </x:c>
      <x:c r="I37" s="28" t="str">
        <x:v>12 seguimientos del plan</x:v>
      </x:c>
      <x:c r="J37" s="28" t="str">
        <x:v>% de acciones del plan ejecutadas</x:v>
      </x:c>
      <x:c r="K37" s="28" t="str">
        <x:v>Mensual</x:v>
      </x:c>
      <x:c r="L37" s="28" t="str">
        <x:v>SST / Líderes de proceso</x:v>
      </x:c>
      <x:c r="M37" s="73" t="n">
        <x:v>24</x:v>
      </x:c>
      <x:c r="N37" s="74" t="n">
        <x:v>3141500</x:v>
      </x:c>
      <x:c r="O37" s="28" t="str">
        <x:v>Matriz APCM</x:v>
      </x:c>
      <x:c r="P37" s="28" t="str">
        <x:v>Reprogramado</x:v>
      </x:c>
      <x:c r="Q37" s="28" t="str">
        <x:v>Ejecutado</x:v>
      </x:c>
      <x:c r="R37" s="28" t="str">
        <x:v>Ejecutado</x:v>
      </x:c>
      <x:c r="S37" s="28" t="str">
        <x:v>Ejecutado</x:v>
      </x:c>
      <x:c r="T37" s="28" t="str">
        <x:v>Ejecutado</x:v>
      </x:c>
      <x:c r="U37" s="28" t="str">
        <x:v>Planeado</x:v>
      </x:c>
      <x:c r="V37" s="28" t="str">
        <x:v>Planeado</x:v>
      </x:c>
      <x:c r="W37" s="28" t="str">
        <x:v>Planeado</x:v>
      </x:c>
      <x:c r="X37" s="28" t="str">
        <x:v>Planeado</x:v>
      </x:c>
      <x:c r="Y37" s="28" t="str">
        <x:v>Planeado</x:v>
      </x:c>
      <x:c r="Z37" s="28" t="str">
        <x:v>Planeado</x:v>
      </x:c>
      <x:c r="AA37" s="28" t="str">
        <x:v>Planeado</x:v>
      </x:c>
      <x:c r="AB37" s="28" t="n">
        <x:f>SUMPRODUCT(--(P37:AA37&lt;&gt;""),--(P$5:AA$5&lt;=$D$2))</x:f>
        <x:v>5</x:v>
      </x:c>
      <x:c r="AC37" s="28" t="n">
        <x:f>SUMPRODUCT(--(P37:AA37="Ejecutado"),--(P$5:AA$5&lt;=$D$2))</x:f>
        <x:v>4</x:v>
      </x:c>
      <x:c r="AD37" s="75" t="n">
        <x:f>IF(AB37=0,0,AC37/AB37)</x:f>
        <x:v>0.8</x:v>
      </x:c>
      <x:c r="AE37" s="28" t="str">
        <x:f>IF(AD37=1,"Cumplida",IF(AD37&gt;=0.8,"Cumplida con ajustes",IF(AD37&gt;0,"En ejecución","Pendiente")))</x:f>
        <x:v>Cumplida con ajustes</x:v>
      </x:c>
    </x:row>
    <x:row r="38" ht="20" customHeight="1">
      <x:c r="A38" s="28" t="str">
        <x:v>PAT-032</x:v>
      </x:c>
      <x:c r="B38" s="28" t="n">
        <x:v>2026</x:v>
      </x:c>
      <x:c r="C38" s="28" t="str">
        <x:v>Todas las sedes</x:v>
      </x:c>
      <x:c r="D38" s="28" t="str">
        <x:v>Actuar</x:v>
      </x:c>
      <x:c r="E38" s="28" t="str">
        <x:v>Documentación</x:v>
      </x:c>
      <x:c r="F38" s="28" t="str">
        <x:v>Actualización documental</x:v>
      </x:c>
      <x:c r="G38" s="28" t="str">
        <x:v>Actualizar procedimientos, matrices y formatos derivados de auditorías, cambios o incidentes</x:v>
      </x:c>
      <x:c r="H38" s="28" t="str">
        <x:v>Mantener el sistema documentado y vigente</x:v>
      </x:c>
      <x:c r="I38" s="28" t="str">
        <x:v>2 ciclos de actualización documental</x:v>
      </x:c>
      <x:c r="J38" s="28" t="str">
        <x:v>% de documentos actualizados</x:v>
      </x:c>
      <x:c r="K38" s="28" t="str">
        <x:v>Semestral</x:v>
      </x:c>
      <x:c r="L38" s="28" t="str">
        <x:v>SST / Calidad</x:v>
      </x:c>
      <x:c r="M38" s="73" t="n">
        <x:v>18</x:v>
      </x:c>
      <x:c r="N38" s="74" t="n">
        <x:v>1570700</x:v>
      </x:c>
      <x:c r="O38" s="28" t="str">
        <x:v>Control documental</x:v>
      </x:c>
      <x:c r="P38" s="28" t="str"/>
      <x:c r="Q38" s="28" t="str"/>
      <x:c r="R38" s="28" t="str"/>
      <x:c r="S38" s="28" t="str"/>
      <x:c r="T38" s="28" t="str"/>
      <x:c r="U38" s="28" t="str">
        <x:v>Planeado</x:v>
      </x:c>
      <x:c r="V38" s="28" t="str"/>
      <x:c r="W38" s="28" t="str"/>
      <x:c r="X38" s="28" t="str"/>
      <x:c r="Y38" s="28" t="str"/>
      <x:c r="Z38" s="28" t="str"/>
      <x:c r="AA38" s="28" t="str">
        <x:v>Planeado</x:v>
      </x:c>
      <x:c r="AB38" s="28" t="n">
        <x:f>SUMPRODUCT(--(P38:AA38&lt;&gt;""),--(P$5:AA$5&lt;=$D$2))</x:f>
        <x:v>0</x:v>
      </x:c>
      <x:c r="AC38" s="28" t="n">
        <x:f>SUMPRODUCT(--(P38:AA38="Ejecutado"),--(P$5:AA$5&lt;=$D$2))</x:f>
        <x:v>0</x:v>
      </x:c>
      <x:c r="AD38" s="75" t="n">
        <x:f>IF(AB38=0,0,AC38/AB38)</x:f>
        <x:v>0</x:v>
      </x:c>
      <x:c r="AE38" s="28" t="str">
        <x:f>IF(AD38=1,"Cumplida",IF(AD38&gt;=0.8,"Cumplida con ajustes",IF(AD38&gt;0,"En ejecución","Pendiente")))</x:f>
        <x:v>Pendiente</x:v>
      </x:c>
    </x:row>
  </x:sheetData>
  <x:mergeCells>
    <x:mergeCell ref="A1:AE1"/>
  </x:mergeCells>
  <x:conditionalFormatting sqref="AD7:AD38">
    <x:cfRule type="colorScale" priority="1">
      <x:colorScale>
        <x:cfvo type="min"/>
        <x:cfvo type="percentile" val="50"/>
        <x:cfvo type="max"/>
        <x:color rgb="FDE2E1"/>
        <x:color rgb="FFF4CC"/>
        <x:color rgb="D9EAD3"/>
      </x:colorScale>
    </x:cfRule>
  </x:conditionalFormatting>
  <x:conditionalFormatting sqref="AE7:AE38">
    <x:cfRule type="expression" dxfId="24" priority="2">
      <x:formula>AE7="Cumplida"</x:formula>
    </x:cfRule>
    <x:cfRule type="expression" dxfId="25" priority="3">
      <x:formula>AE7="Cumplida con ajustes"</x:formula>
    </x:cfRule>
    <x:cfRule type="expression" dxfId="26" priority="4">
      <x:formula>AE7="En ejecución"</x:formula>
    </x:cfRule>
    <x:cfRule type="expression" dxfId="27" priority="5">
      <x:formula>AE7="Pendiente"</x:formula>
    </x:cfRule>
  </x:conditionalFormatting>
  <x:conditionalFormatting sqref="P7:AA38">
    <x:cfRule type="expression" dxfId="28" priority="6">
      <x:formula>P7="Ejecutado"</x:formula>
    </x:cfRule>
    <x:cfRule type="expression" dxfId="29" priority="7">
      <x:formula>P7="Planeado"</x:formula>
    </x:cfRule>
    <x:cfRule type="expression" dxfId="30" priority="8">
      <x:formula>P7="Reprogramado"</x:formula>
    </x:cfRule>
    <x:cfRule type="expression" dxfId="31" priority="9">
      <x:formula>P7="Cancelado"</x:formula>
    </x:cfRule>
  </x:conditionalFormatting>
  <x:dataValidations count="4">
    <x:dataValidation type="list" sqref="P7:AA38">
      <x:formula1>Catalogos!$A$4:$A$7</x:formula1>
    </x:dataValidation>
    <x:dataValidation type="list" sqref="D7:D38">
      <x:formula1>Catalogos!$C$4:$C$7</x:formula1>
    </x:dataValidation>
    <x:dataValidation type="list" sqref="K7:K38">
      <x:formula1>Catalogos!$E$4:$E$9</x:formula1>
    </x:dataValidation>
    <x:dataValidation type="list" sqref="C7:C38">
      <x:formula1>Catalogos!$G$4:$G$15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6a57148a544a9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  <x:col min="7" max="7" width="10" hidden="0" customWidth="1"/>
    <x:col min="8" max="8" width="18" hidden="0" customWidth="1"/>
    <x:col min="9" max="9" width="14" hidden="0" customWidth="1"/>
    <x:col min="10" max="10" width="12" hidden="0" customWidth="1"/>
    <x:col min="11" max="11" width="14" hidden="0" customWidth="1"/>
    <x:col min="12" max="12" width="20" hidden="0" customWidth="1"/>
  </x:cols>
  <x:sheetData>
    <x:row r="1">
      <x:c r="A1" s="4" t="str">
        <x:v>Resumen anual – Plan Anual de Trabajo SG-SST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98" t="str">
        <x:v>Año</x:v>
      </x:c>
      <x:c r="B3" s="98" t="str">
        <x:v>Mes de corte</x:v>
      </x:c>
      <x:c r="C3" s="98" t="str">
        <x:v>Total actividades</x:v>
      </x:c>
      <x:c r="D3" s="98" t="str">
        <x:v>Programadas a corte</x:v>
      </x:c>
      <x:c r="E3" s="98" t="str">
        <x:v>Ejecutadas a corte</x:v>
      </x:c>
      <x:c r="F3" s="98" t="str">
        <x:v>% cumplimiento global</x:v>
      </x:c>
      <x:c r="G3" s="98" t="str">
        <x:v>Cumplidas</x:v>
      </x:c>
      <x:c r="H3" s="98" t="str">
        <x:v>Cumplidas con ajustes</x:v>
      </x:c>
      <x:c r="I3" s="98" t="str">
        <x:v>En ejecución</x:v>
      </x:c>
      <x:c r="J3" s="98" t="str">
        <x:v>Pendientes</x:v>
      </x:c>
      <x:c r="K3" s="98" t="str">
        <x:v>HH planificadas</x:v>
      </x:c>
      <x:c r="L3" s="98" t="str">
        <x:v>Presupuesto estimado (COP)</x:v>
      </x:c>
    </x:row>
    <x:row r="4">
      <x:c r="A4" s="14" t="n">
        <x:v>2023</x:v>
      </x:c>
      <x:c r="B4" s="14" t="n">
        <x:v>12</x:v>
      </x:c>
      <x:c r="C4" s="14" t="n">
        <x:f>COUNTA(Plan_2023!A7:A38)</x:f>
        <x:v>32</x:v>
      </x:c>
      <x:c r="D4" s="14" t="n">
        <x:f>SUM(Plan_2023!AB7:AB38)</x:f>
        <x:v>162</x:v>
      </x:c>
      <x:c r="E4" s="14" t="n">
        <x:f>SUM(Plan_2023!AC7:AC38)</x:f>
        <x:v>155</x:v>
      </x:c>
      <x:c r="F4" s="69" t="n">
        <x:f>IF(D4=0,0,E4/D4)</x:f>
        <x:v>0.9567901234567902</x:v>
      </x:c>
      <x:c r="G4" s="14" t="n">
        <x:f>COUNTIF(Plan_2023!AE7:AE38,"Cumplida")</x:f>
        <x:v>27</x:v>
      </x:c>
      <x:c r="H4" s="14" t="n">
        <x:f>COUNTIF(Plan_2023!AE7:AE38,"Cumplida con ajustes")</x:f>
        <x:v>5</x:v>
      </x:c>
      <x:c r="I4" s="14" t="n">
        <x:f>COUNTIF(Plan_2023!AE7:AE38,"En ejecución")</x:f>
        <x:v>0</x:v>
      </x:c>
      <x:c r="J4" s="14" t="n">
        <x:f>COUNTIF(Plan_2023!AE7:AE38,"Pendiente")</x:f>
        <x:v>0</x:v>
      </x:c>
      <x:c r="K4" s="71" t="n">
        <x:f>SUM(Plan_2023!M7:M38)</x:f>
        <x:v>776</x:v>
      </x:c>
      <x:c r="L4" s="67" t="n">
        <x:f>SUM(Plan_2023!N7:N38)</x:f>
        <x:v>74600000</x:v>
      </x:c>
    </x:row>
    <x:row r="5">
      <x:c r="A5" s="14" t="n">
        <x:v>2024</x:v>
      </x:c>
      <x:c r="B5" s="14" t="n">
        <x:v>12</x:v>
      </x:c>
      <x:c r="C5" s="14" t="n">
        <x:f>COUNTA(Plan_2024!A7:A38)</x:f>
        <x:v>32</x:v>
      </x:c>
      <x:c r="D5" s="14" t="n">
        <x:f>SUM(Plan_2024!AB7:AB38)</x:f>
        <x:v>162</x:v>
      </x:c>
      <x:c r="E5" s="14" t="n">
        <x:f>SUM(Plan_2024!AC7:AC38)</x:f>
        <x:v>156</x:v>
      </x:c>
      <x:c r="F5" s="69" t="n">
        <x:f>IF(D5=0,0,E5/D5)</x:f>
        <x:v>0.9629629629629629</x:v>
      </x:c>
      <x:c r="G5" s="14" t="n">
        <x:f>COUNTIF(Plan_2024!AE7:AE38,"Cumplida")</x:f>
        <x:v>26</x:v>
      </x:c>
      <x:c r="H5" s="14" t="n">
        <x:f>COUNTIF(Plan_2024!AE7:AE38,"Cumplida con ajustes")</x:f>
        <x:v>5</x:v>
      </x:c>
      <x:c r="I5" s="14" t="n">
        <x:f>COUNTIF(Plan_2024!AE7:AE38,"En ejecución")</x:f>
        <x:v>1</x:v>
      </x:c>
      <x:c r="J5" s="14" t="n">
        <x:f>COUNTIF(Plan_2024!AE7:AE38,"Pendiente")</x:f>
        <x:v>0</x:v>
      </x:c>
      <x:c r="K5" s="71" t="n">
        <x:f>SUM(Plan_2024!M7:M38)</x:f>
        <x:v>776</x:v>
      </x:c>
      <x:c r="L5" s="67" t="n">
        <x:f>SUM(Plan_2024!N7:N38)</x:f>
        <x:v>81523000</x:v>
      </x:c>
    </x:row>
    <x:row r="6">
      <x:c r="A6" s="14" t="n">
        <x:v>2025</x:v>
      </x:c>
      <x:c r="B6" s="14" t="n">
        <x:v>12</x:v>
      </x:c>
      <x:c r="C6" s="14" t="n">
        <x:f>COUNTA(Plan_2025!A7:A38)</x:f>
        <x:v>32</x:v>
      </x:c>
      <x:c r="D6" s="14" t="n">
        <x:f>SUM(Plan_2025!AB7:AB38)</x:f>
        <x:v>162</x:v>
      </x:c>
      <x:c r="E6" s="14" t="n">
        <x:f>SUM(Plan_2025!AC7:AC38)</x:f>
        <x:v>159</x:v>
      </x:c>
      <x:c r="F6" s="69" t="n">
        <x:f>IF(D6=0,0,E6/D6)</x:f>
        <x:v>0.9814814814814815</x:v>
      </x:c>
      <x:c r="G6" s="14" t="n">
        <x:f>COUNTIF(Plan_2025!AE7:AE38,"Cumplida")</x:f>
        <x:v>29</x:v>
      </x:c>
      <x:c r="H6" s="14" t="n">
        <x:f>COUNTIF(Plan_2025!AE7:AE38,"Cumplida con ajustes")</x:f>
        <x:v>3</x:v>
      </x:c>
      <x:c r="I6" s="14" t="n">
        <x:f>COUNTIF(Plan_2025!AE7:AE38,"En ejecución")</x:f>
        <x:v>0</x:v>
      </x:c>
      <x:c r="J6" s="14" t="n">
        <x:f>COUNTIF(Plan_2025!AE7:AE38,"Pendiente")</x:f>
        <x:v>0</x:v>
      </x:c>
      <x:c r="K6" s="71" t="n">
        <x:f>SUM(Plan_2025!M7:M38)</x:f>
        <x:v>776</x:v>
      </x:c>
      <x:c r="L6" s="67" t="n">
        <x:f>SUM(Plan_2025!N7:N38)</x:f>
        <x:v>85762200</x:v>
      </x:c>
    </x:row>
    <x:row r="7">
      <x:c r="A7" s="14" t="n">
        <x:v>2026</x:v>
      </x:c>
      <x:c r="B7" s="14" t="n">
        <x:v>5</x:v>
      </x:c>
      <x:c r="C7" s="14" t="n">
        <x:f>COUNTA(Plan_2026!A7:A38)</x:f>
        <x:v>32</x:v>
      </x:c>
      <x:c r="D7" s="14" t="n">
        <x:f>SUM(Plan_2026!AB7:AB38)</x:f>
        <x:v>70</x:v>
      </x:c>
      <x:c r="E7" s="14" t="n">
        <x:f>SUM(Plan_2026!AC7:AC38)</x:f>
        <x:v>66</x:v>
      </x:c>
      <x:c r="F7" s="69" t="n">
        <x:f>IF(D7=0,0,E7/D7)</x:f>
        <x:v>0.9428571428571428</x:v>
      </x:c>
      <x:c r="G7" s="14" t="n">
        <x:f>COUNTIF(Plan_2026!AE7:AE38,"Cumplida")</x:f>
        <x:v>24</x:v>
      </x:c>
      <x:c r="H7" s="14" t="n">
        <x:f>COUNTIF(Plan_2026!AE7:AE38,"Cumplida con ajustes")</x:f>
        <x:v>4</x:v>
      </x:c>
      <x:c r="I7" s="14" t="n">
        <x:f>COUNTIF(Plan_2026!AE7:AE38,"En ejecución")</x:f>
        <x:v>0</x:v>
      </x:c>
      <x:c r="J7" s="14" t="n">
        <x:f>COUNTIF(Plan_2026!AE7:AE38,"Pendiente")</x:f>
        <x:v>4</x:v>
      </x:c>
      <x:c r="K7" s="71" t="n">
        <x:f>SUM(Plan_2026!M7:M38)</x:f>
        <x:v>776</x:v>
      </x:c>
      <x:c r="L7" s="67" t="n">
        <x:f>SUM(Plan_2026!N7:N38)</x:f>
        <x:v>90136100</x:v>
      </x:c>
    </x:row>
    <x:row r="10">
      <x:c r="A10" s="101" t="str">
        <x:v>Promedio de cumplimiento por ciclo PHVA</x:v>
      </x:c>
      <x:c r="B10" s="101"/>
      <x:c r="C10" s="101"/>
      <x:c r="D10" s="101"/>
      <x:c r="E10" s="101"/>
      <x:c r="F10" s="101"/>
    </x:row>
    <x:row r="11">
      <x:c r="A11" s="104" t="str">
        <x:v>Ciclo PHVA</x:v>
      </x:c>
      <x:c r="B11" s="104" t="str">
        <x:v>2023</x:v>
      </x:c>
      <x:c r="C11" s="104" t="str">
        <x:v>2024</x:v>
      </x:c>
      <x:c r="D11" s="104" t="str">
        <x:v>2025</x:v>
      </x:c>
      <x:c r="E11" s="104" t="str">
        <x:v>2026</x:v>
      </x:c>
    </x:row>
    <x:row r="12">
      <x:c r="A12" s="14" t="str">
        <x:v>Planear</x:v>
      </x:c>
      <x:c r="B12" s="69" t="n">
        <x:f>AVERAGEIF(Plan_2023!D7:D38,"Planear",Plan_2023!AD7:AD38)</x:f>
        <x:v>1</x:v>
      </x:c>
      <x:c r="C12" s="69" t="n">
        <x:f>AVERAGEIF(Plan_2024!D7:D38,"Planear",Plan_2024!AD7:AD38)</x:f>
        <x:v>1</x:v>
      </x:c>
      <x:c r="D12" s="69" t="n">
        <x:f>AVERAGEIF(Plan_2025!D7:D38,"Planear",Plan_2025!AD7:AD38)</x:f>
        <x:v>1</x:v>
      </x:c>
      <x:c r="E12" s="69" t="n">
        <x:f>AVERAGEIF(Plan_2026!D7:D38,"Planear",Plan_2026!AD7:AD38)</x:f>
        <x:v>1</x:v>
      </x:c>
    </x:row>
    <x:row r="13">
      <x:c r="A13" s="14" t="str">
        <x:v>Hacer</x:v>
      </x:c>
      <x:c r="B13" s="69" t="n">
        <x:f>AVERAGEIF(Plan_2023!D7:D38,"Hacer",Plan_2023!AD7:AD38)</x:f>
        <x:v>0.9642857142857143</x:v>
      </x:c>
      <x:c r="C13" s="69" t="n">
        <x:f>AVERAGEIF(Plan_2024!D7:D38,"Hacer",Plan_2024!AD7:AD38)</x:f>
        <x:v>0.9464285714285713</x:v>
      </x:c>
      <x:c r="D13" s="69" t="n">
        <x:f>AVERAGEIF(Plan_2025!D7:D38,"Hacer",Plan_2025!AD7:AD38)</x:f>
        <x:v>0.994047619047619</x:v>
      </x:c>
      <x:c r="E13" s="69" t="n">
        <x:f>AVERAGEIF(Plan_2026!D7:D38,"Hacer",Plan_2026!AD7:AD38)</x:f>
        <x:v>0.9714285714285715</x:v>
      </x:c>
    </x:row>
    <x:row r="14">
      <x:c r="A14" s="14" t="str">
        <x:v>Verificar</x:v>
      </x:c>
      <x:c r="B14" s="69" t="n">
        <x:f>AVERAGEIF(Plan_2023!D7:D38,"Verificar",Plan_2023!AD7:AD38)</x:f>
        <x:v>1</x:v>
      </x:c>
      <x:c r="C14" s="69" t="n">
        <x:f>AVERAGEIF(Plan_2024!D7:D38,"Verificar",Plan_2024!AD7:AD38)</x:f>
        <x:v>0.9833333333333332</x:v>
      </x:c>
      <x:c r="D14" s="69" t="n">
        <x:f>AVERAGEIF(Plan_2025!D7:D38,"Verificar",Plan_2025!AD7:AD38)</x:f>
        <x:v>0.9666666666666666</x:v>
      </x:c>
      <x:c r="E14" s="69" t="n">
        <x:f>AVERAGEIF(Plan_2026!D7:D38,"Verificar",Plan_2026!AD7:AD38)</x:f>
        <x:v>0.5599999999999999</x:v>
      </x:c>
    </x:row>
    <x:row r="15">
      <x:c r="A15" s="14" t="str">
        <x:v>Actuar</x:v>
      </x:c>
      <x:c r="B15" s="69" t="n">
        <x:f>AVERAGEIF(Plan_2023!D7:D38,"Actuar",Plan_2023!AD7:AD38)</x:f>
        <x:v>0.9722222222222222</x:v>
      </x:c>
      <x:c r="C15" s="69" t="n">
        <x:f>AVERAGEIF(Plan_2024!D7:D38,"Actuar",Plan_2024!AD7:AD38)</x:f>
        <x:v>0.9722222222222222</x:v>
      </x:c>
      <x:c r="D15" s="69" t="n">
        <x:f>AVERAGEIF(Plan_2025!D7:D38,"Actuar",Plan_2025!AD7:AD38)</x:f>
        <x:v>1</x:v>
      </x:c>
      <x:c r="E15" s="69" t="n">
        <x:f>AVERAGEIF(Plan_2026!D7:D38,"Actuar",Plan_2026!AD7:AD38)</x:f>
        <x:v>0.26666666666666666</x:v>
      </x:c>
    </x:row>
  </x:sheetData>
  <x:mergeCells>
    <x:mergeCell ref="A1:L1"/>
    <x:mergeCell ref="A10:F1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0" hidden="0" customWidth="1"/>
    <x:col min="4" max="4" width="14" hidden="0" customWidth="1"/>
    <x:col min="5" max="5" width="14" hidden="0" customWidth="1"/>
    <x:col min="6" max="6" width="16" hidden="0" customWidth="1"/>
    <x:col min="7" max="7" width="12" hidden="0" customWidth="1"/>
    <x:col min="8" max="8" width="14" hidden="0" customWidth="1"/>
  </x:cols>
  <x:sheetData>
    <x:row r="1">
      <x:c r="A1" s="4" t="str">
        <x:v>Resumen mensual por año – Plan Anual de Trabajo SG-SST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Año</x:v>
      </x:c>
      <x:c r="B3" s="11" t="str">
        <x:v>Mes #</x:v>
      </x:c>
      <x:c r="C3" s="11" t="str">
        <x:v>Mes</x:v>
      </x:c>
      <x:c r="D3" s="11" t="str">
        <x:v>Programadas</x:v>
      </x:c>
      <x:c r="E3" s="11" t="str">
        <x:v>Ejecutadas</x:v>
      </x:c>
      <x:c r="F3" s="11" t="str">
        <x:v>Reprogramadas</x:v>
      </x:c>
      <x:c r="G3" s="11" t="str">
        <x:v>Canceladas</x:v>
      </x:c>
      <x:c r="H3" s="11" t="str">
        <x:v>% cumplimiento</x:v>
      </x:c>
    </x:row>
    <x:row r="4">
      <x:c r="A4" s="14" t="n">
        <x:v>2023</x:v>
      </x:c>
      <x:c r="B4" s="14" t="n">
        <x:v>1</x:v>
      </x:c>
      <x:c r="C4" s="14" t="str">
        <x:v>Ene</x:v>
      </x:c>
      <x:c r="D4" s="14" t="n">
        <x:f>COUNTIF(Plan_2023!P7:P38,"&lt;&gt;")</x:f>
        <x:v>32</x:v>
      </x:c>
      <x:c r="E4" s="14" t="n">
        <x:f>COUNTIF(Plan_2023!P7:P38,"Ejecutado")</x:f>
        <x:v>16</x:v>
      </x:c>
      <x:c r="F4" s="14" t="n">
        <x:f>COUNTIF(Plan_2023!P7:P38,"Reprogramado")</x:f>
        <x:v>0</x:v>
      </x:c>
      <x:c r="G4" s="14" t="n">
        <x:f>COUNTIF(Plan_2023!P7:P38,"Cancelado")</x:f>
        <x:v>0</x:v>
      </x:c>
      <x:c r="H4" s="69" t="n">
        <x:f>IF(D4=0,0,E4/D4)</x:f>
        <x:v>0.5</x:v>
      </x:c>
    </x:row>
    <x:row r="5">
      <x:c r="A5" s="14" t="n">
        <x:v>2023</x:v>
      </x:c>
      <x:c r="B5" s="14" t="n">
        <x:v>2</x:v>
      </x:c>
      <x:c r="C5" s="14" t="str">
        <x:v>Feb</x:v>
      </x:c>
      <x:c r="D5" s="14" t="n">
        <x:f>COUNTIF(Plan_2023!Q7:Q38,"&lt;&gt;")</x:f>
        <x:v>32</x:v>
      </x:c>
      <x:c r="E5" s="14" t="n">
        <x:f>COUNTIF(Plan_2023!Q7:Q38,"Ejecutado")</x:f>
        <x:v>15</x:v>
      </x:c>
      <x:c r="F5" s="14" t="n">
        <x:f>COUNTIF(Plan_2023!Q7:Q38,"Reprogramado")</x:f>
        <x:v>0</x:v>
      </x:c>
      <x:c r="G5" s="14" t="n">
        <x:f>COUNTIF(Plan_2023!Q7:Q38,"Cancelado")</x:f>
        <x:v>0</x:v>
      </x:c>
      <x:c r="H5" s="69" t="n">
        <x:f>IF(D5=0,0,E5/D5)</x:f>
        <x:v>0.46875</x:v>
      </x:c>
    </x:row>
    <x:row r="6">
      <x:c r="A6" s="14" t="n">
        <x:v>2023</x:v>
      </x:c>
      <x:c r="B6" s="14" t="n">
        <x:v>3</x:v>
      </x:c>
      <x:c r="C6" s="14" t="str">
        <x:v>Mar</x:v>
      </x:c>
      <x:c r="D6" s="14" t="n">
        <x:f>COUNTIF(Plan_2023!R7:R38,"&lt;&gt;")</x:f>
        <x:v>32</x:v>
      </x:c>
      <x:c r="E6" s="14" t="n">
        <x:f>COUNTIF(Plan_2023!R7:R38,"Ejecutado")</x:f>
        <x:v>13</x:v>
      </x:c>
      <x:c r="F6" s="14" t="n">
        <x:f>COUNTIF(Plan_2023!R7:R38,"Reprogramado")</x:f>
        <x:v>1</x:v>
      </x:c>
      <x:c r="G6" s="14" t="n">
        <x:f>COUNTIF(Plan_2023!R7:R38,"Cancelado")</x:f>
        <x:v>0</x:v>
      </x:c>
      <x:c r="H6" s="69" t="n">
        <x:f>IF(D6=0,0,E6/D6)</x:f>
        <x:v>0.40625</x:v>
      </x:c>
    </x:row>
    <x:row r="7">
      <x:c r="A7" s="14" t="n">
        <x:v>2023</x:v>
      </x:c>
      <x:c r="B7" s="14" t="n">
        <x:v>4</x:v>
      </x:c>
      <x:c r="C7" s="14" t="str">
        <x:v>Abr</x:v>
      </x:c>
      <x:c r="D7" s="14" t="n">
        <x:f>COUNTIF(Plan_2023!S7:S38,"&lt;&gt;")</x:f>
        <x:v>32</x:v>
      </x:c>
      <x:c r="E7" s="14" t="n">
        <x:f>COUNTIF(Plan_2023!S7:S38,"Ejecutado")</x:f>
        <x:v>12</x:v>
      </x:c>
      <x:c r="F7" s="14" t="n">
        <x:f>COUNTIF(Plan_2023!S7:S38,"Reprogramado")</x:f>
        <x:v>0</x:v>
      </x:c>
      <x:c r="G7" s="14" t="n">
        <x:f>COUNTIF(Plan_2023!S7:S38,"Cancelado")</x:f>
        <x:v>0</x:v>
      </x:c>
      <x:c r="H7" s="69" t="n">
        <x:f>IF(D7=0,0,E7/D7)</x:f>
        <x:v>0.375</x:v>
      </x:c>
    </x:row>
    <x:row r="8">
      <x:c r="A8" s="14" t="n">
        <x:v>2023</x:v>
      </x:c>
      <x:c r="B8" s="14" t="n">
        <x:v>5</x:v>
      </x:c>
      <x:c r="C8" s="14" t="str">
        <x:v>May</x:v>
      </x:c>
      <x:c r="D8" s="14" t="n">
        <x:f>COUNTIF(Plan_2023!T7:T38,"&lt;&gt;")</x:f>
        <x:v>32</x:v>
      </x:c>
      <x:c r="E8" s="14" t="n">
        <x:f>COUNTIF(Plan_2023!T7:T38,"Ejecutado")</x:f>
        <x:v>13</x:v>
      </x:c>
      <x:c r="F8" s="14" t="n">
        <x:f>COUNTIF(Plan_2023!T7:T38,"Reprogramado")</x:f>
        <x:v>0</x:v>
      </x:c>
      <x:c r="G8" s="14" t="n">
        <x:f>COUNTIF(Plan_2023!T7:T38,"Cancelado")</x:f>
        <x:v>0</x:v>
      </x:c>
      <x:c r="H8" s="69" t="n">
        <x:f>IF(D8=0,0,E8/D8)</x:f>
        <x:v>0.40625</x:v>
      </x:c>
    </x:row>
    <x:row r="9">
      <x:c r="A9" s="14" t="n">
        <x:v>2023</x:v>
      </x:c>
      <x:c r="B9" s="14" t="n">
        <x:v>6</x:v>
      </x:c>
      <x:c r="C9" s="14" t="str">
        <x:v>Jun</x:v>
      </x:c>
      <x:c r="D9" s="14" t="n">
        <x:f>COUNTIF(Plan_2023!U7:U38,"&lt;&gt;")</x:f>
        <x:v>32</x:v>
      </x:c>
      <x:c r="E9" s="14" t="n">
        <x:f>COUNTIF(Plan_2023!U7:U38,"Ejecutado")</x:f>
        <x:v>13</x:v>
      </x:c>
      <x:c r="F9" s="14" t="n">
        <x:f>COUNTIF(Plan_2023!U7:U38,"Reprogramado")</x:f>
        <x:v>0</x:v>
      </x:c>
      <x:c r="G9" s="14" t="n">
        <x:f>COUNTIF(Plan_2023!U7:U38,"Cancelado")</x:f>
        <x:v>1</x:v>
      </x:c>
      <x:c r="H9" s="69" t="n">
        <x:f>IF(D9=0,0,E9/D9)</x:f>
        <x:v>0.40625</x:v>
      </x:c>
    </x:row>
    <x:row r="10">
      <x:c r="A10" s="14" t="n">
        <x:v>2023</x:v>
      </x:c>
      <x:c r="B10" s="14" t="n">
        <x:v>7</x:v>
      </x:c>
      <x:c r="C10" s="14" t="str">
        <x:v>Jul</x:v>
      </x:c>
      <x:c r="D10" s="14" t="n">
        <x:f>COUNTIF(Plan_2023!V7:V38,"&lt;&gt;")</x:f>
        <x:v>32</x:v>
      </x:c>
      <x:c r="E10" s="14" t="n">
        <x:f>COUNTIF(Plan_2023!V7:V38,"Ejecutado")</x:f>
        <x:v>8</x:v>
      </x:c>
      <x:c r="F10" s="14" t="n">
        <x:f>COUNTIF(Plan_2023!V7:V38,"Reprogramado")</x:f>
        <x:v>2</x:v>
      </x:c>
      <x:c r="G10" s="14" t="n">
        <x:f>COUNTIF(Plan_2023!V7:V38,"Cancelado")</x:f>
        <x:v>0</x:v>
      </x:c>
      <x:c r="H10" s="69" t="n">
        <x:f>IF(D10=0,0,E10/D10)</x:f>
        <x:v>0.25</x:v>
      </x:c>
    </x:row>
    <x:row r="11">
      <x:c r="A11" s="14" t="n">
        <x:v>2023</x:v>
      </x:c>
      <x:c r="B11" s="14" t="n">
        <x:v>8</x:v>
      </x:c>
      <x:c r="C11" s="14" t="str">
        <x:v>Ago</x:v>
      </x:c>
      <x:c r="D11" s="14" t="n">
        <x:f>COUNTIF(Plan_2023!W7:W38,"&lt;&gt;")</x:f>
        <x:v>32</x:v>
      </x:c>
      <x:c r="E11" s="14" t="n">
        <x:f>COUNTIF(Plan_2023!W7:W38,"Ejecutado")</x:f>
        <x:v>13</x:v>
      </x:c>
      <x:c r="F11" s="14" t="n">
        <x:f>COUNTIF(Plan_2023!W7:W38,"Reprogramado")</x:f>
        <x:v>0</x:v>
      </x:c>
      <x:c r="G11" s="14" t="n">
        <x:f>COUNTIF(Plan_2023!W7:W38,"Cancelado")</x:f>
        <x:v>0</x:v>
      </x:c>
      <x:c r="H11" s="69" t="n">
        <x:f>IF(D11=0,0,E11/D11)</x:f>
        <x:v>0.40625</x:v>
      </x:c>
    </x:row>
    <x:row r="12">
      <x:c r="A12" s="14" t="n">
        <x:v>2023</x:v>
      </x:c>
      <x:c r="B12" s="14" t="n">
        <x:v>9</x:v>
      </x:c>
      <x:c r="C12" s="14" t="str">
        <x:v>Sep</x:v>
      </x:c>
      <x:c r="D12" s="14" t="n">
        <x:f>COUNTIF(Plan_2023!X7:X38,"&lt;&gt;")</x:f>
        <x:v>32</x:v>
      </x:c>
      <x:c r="E12" s="14" t="n">
        <x:f>COUNTIF(Plan_2023!X7:X38,"Ejecutado")</x:f>
        <x:v>13</x:v>
      </x:c>
      <x:c r="F12" s="14" t="n">
        <x:f>COUNTIF(Plan_2023!X7:X38,"Reprogramado")</x:f>
        <x:v>1</x:v>
      </x:c>
      <x:c r="G12" s="14" t="n">
        <x:f>COUNTIF(Plan_2023!X7:X38,"Cancelado")</x:f>
        <x:v>0</x:v>
      </x:c>
      <x:c r="H12" s="69" t="n">
        <x:f>IF(D12=0,0,E12/D12)</x:f>
        <x:v>0.40625</x:v>
      </x:c>
    </x:row>
    <x:row r="13">
      <x:c r="A13" s="14" t="n">
        <x:v>2023</x:v>
      </x:c>
      <x:c r="B13" s="14" t="n">
        <x:v>10</x:v>
      </x:c>
      <x:c r="C13" s="14" t="str">
        <x:v>Oct</x:v>
      </x:c>
      <x:c r="D13" s="14" t="n">
        <x:f>COUNTIF(Plan_2023!Y7:Y38,"&lt;&gt;")</x:f>
        <x:v>32</x:v>
      </x:c>
      <x:c r="E13" s="14" t="n">
        <x:f>COUNTIF(Plan_2023!Y7:Y38,"Ejecutado")</x:f>
        <x:v>11</x:v>
      </x:c>
      <x:c r="F13" s="14" t="n">
        <x:f>COUNTIF(Plan_2023!Y7:Y38,"Reprogramado")</x:f>
        <x:v>0</x:v>
      </x:c>
      <x:c r="G13" s="14" t="n">
        <x:f>COUNTIF(Plan_2023!Y7:Y38,"Cancelado")</x:f>
        <x:v>1</x:v>
      </x:c>
      <x:c r="H13" s="69" t="n">
        <x:f>IF(D13=0,0,E13/D13)</x:f>
        <x:v>0.34375</x:v>
      </x:c>
    </x:row>
    <x:row r="14">
      <x:c r="A14" s="14" t="n">
        <x:v>2023</x:v>
      </x:c>
      <x:c r="B14" s="14" t="n">
        <x:v>11</x:v>
      </x:c>
      <x:c r="C14" s="14" t="str">
        <x:v>Nov</x:v>
      </x:c>
      <x:c r="D14" s="14" t="n">
        <x:f>COUNTIF(Plan_2023!Z7:Z38,"&lt;&gt;")</x:f>
        <x:v>32</x:v>
      </x:c>
      <x:c r="E14" s="14" t="n">
        <x:f>COUNTIF(Plan_2023!Z7:Z38,"Ejecutado")</x:f>
        <x:v>14</x:v>
      </x:c>
      <x:c r="F14" s="14" t="n">
        <x:f>COUNTIF(Plan_2023!Z7:Z38,"Reprogramado")</x:f>
        <x:v>0</x:v>
      </x:c>
      <x:c r="G14" s="14" t="n">
        <x:f>COUNTIF(Plan_2023!Z7:Z38,"Cancelado")</x:f>
        <x:v>0</x:v>
      </x:c>
      <x:c r="H14" s="69" t="n">
        <x:f>IF(D14=0,0,E14/D14)</x:f>
        <x:v>0.4375</x:v>
      </x:c>
    </x:row>
    <x:row r="15">
      <x:c r="A15" s="14" t="n">
        <x:v>2023</x:v>
      </x:c>
      <x:c r="B15" s="14" t="n">
        <x:v>12</x:v>
      </x:c>
      <x:c r="C15" s="14" t="str">
        <x:v>Dic</x:v>
      </x:c>
      <x:c r="D15" s="14" t="n">
        <x:f>COUNTIF(Plan_2023!AA7:AA38,"&lt;&gt;")</x:f>
        <x:v>32</x:v>
      </x:c>
      <x:c r="E15" s="14" t="n">
        <x:f>COUNTIF(Plan_2023!AA7:AA38,"Ejecutado")</x:f>
        <x:v>14</x:v>
      </x:c>
      <x:c r="F15" s="14" t="n">
        <x:f>COUNTIF(Plan_2023!AA7:AA38,"Reprogramado")</x:f>
        <x:v>1</x:v>
      </x:c>
      <x:c r="G15" s="14" t="n">
        <x:f>COUNTIF(Plan_2023!AA7:AA38,"Cancelado")</x:f>
        <x:v>0</x:v>
      </x:c>
      <x:c r="H15" s="69" t="n">
        <x:f>IF(D15=0,0,E15/D15)</x:f>
        <x:v>0.4375</x:v>
      </x:c>
    </x:row>
    <x:row r="16">
      <x:c r="A16" s="14" t="n">
        <x:v>2024</x:v>
      </x:c>
      <x:c r="B16" s="14" t="n">
        <x:v>1</x:v>
      </x:c>
      <x:c r="C16" s="14" t="str">
        <x:v>Ene</x:v>
      </x:c>
      <x:c r="D16" s="14" t="n">
        <x:f>COUNTIF(Plan_2024!P7:P38,"&lt;&gt;")</x:f>
        <x:v>32</x:v>
      </x:c>
      <x:c r="E16" s="14" t="n">
        <x:f>COUNTIF(Plan_2024!P7:P38,"Ejecutado")</x:f>
        <x:v>15</x:v>
      </x:c>
      <x:c r="F16" s="14" t="n">
        <x:f>COUNTIF(Plan_2024!P7:P38,"Reprogramado")</x:f>
        <x:v>1</x:v>
      </x:c>
      <x:c r="G16" s="14" t="n">
        <x:f>COUNTIF(Plan_2024!P7:P38,"Cancelado")</x:f>
        <x:v>0</x:v>
      </x:c>
      <x:c r="H16" s="69" t="n">
        <x:f>IF(D16=0,0,E16/D16)</x:f>
        <x:v>0.46875</x:v>
      </x:c>
    </x:row>
    <x:row r="17">
      <x:c r="A17" s="14" t="n">
        <x:v>2024</x:v>
      </x:c>
      <x:c r="B17" s="14" t="n">
        <x:v>2</x:v>
      </x:c>
      <x:c r="C17" s="14" t="str">
        <x:v>Feb</x:v>
      </x:c>
      <x:c r="D17" s="14" t="n">
        <x:f>COUNTIF(Plan_2024!Q7:Q38,"&lt;&gt;")</x:f>
        <x:v>32</x:v>
      </x:c>
      <x:c r="E17" s="14" t="n">
        <x:f>COUNTIF(Plan_2024!Q7:Q38,"Ejecutado")</x:f>
        <x:v>15</x:v>
      </x:c>
      <x:c r="F17" s="14" t="n">
        <x:f>COUNTIF(Plan_2024!Q7:Q38,"Reprogramado")</x:f>
        <x:v>0</x:v>
      </x:c>
      <x:c r="G17" s="14" t="n">
        <x:f>COUNTIF(Plan_2024!Q7:Q38,"Cancelado")</x:f>
        <x:v>0</x:v>
      </x:c>
      <x:c r="H17" s="69" t="n">
        <x:f>IF(D17=0,0,E17/D17)</x:f>
        <x:v>0.46875</x:v>
      </x:c>
    </x:row>
    <x:row r="18">
      <x:c r="A18" s="14" t="n">
        <x:v>2024</x:v>
      </x:c>
      <x:c r="B18" s="14" t="n">
        <x:v>3</x:v>
      </x:c>
      <x:c r="C18" s="14" t="str">
        <x:v>Mar</x:v>
      </x:c>
      <x:c r="D18" s="14" t="n">
        <x:f>COUNTIF(Plan_2024!R7:R38,"&lt;&gt;")</x:f>
        <x:v>32</x:v>
      </x:c>
      <x:c r="E18" s="14" t="n">
        <x:f>COUNTIF(Plan_2024!R7:R38,"Ejecutado")</x:f>
        <x:v>13</x:v>
      </x:c>
      <x:c r="F18" s="14" t="n">
        <x:f>COUNTIF(Plan_2024!R7:R38,"Reprogramado")</x:f>
        <x:v>1</x:v>
      </x:c>
      <x:c r="G18" s="14" t="n">
        <x:f>COUNTIF(Plan_2024!R7:R38,"Cancelado")</x:f>
        <x:v>0</x:v>
      </x:c>
      <x:c r="H18" s="69" t="n">
        <x:f>IF(D18=0,0,E18/D18)</x:f>
        <x:v>0.40625</x:v>
      </x:c>
    </x:row>
    <x:row r="19">
      <x:c r="A19" s="14" t="n">
        <x:v>2024</x:v>
      </x:c>
      <x:c r="B19" s="14" t="n">
        <x:v>4</x:v>
      </x:c>
      <x:c r="C19" s="14" t="str">
        <x:v>Abr</x:v>
      </x:c>
      <x:c r="D19" s="14" t="n">
        <x:f>COUNTIF(Plan_2024!S7:S38,"&lt;&gt;")</x:f>
        <x:v>32</x:v>
      </x:c>
      <x:c r="E19" s="14" t="n">
        <x:f>COUNTIF(Plan_2024!S7:S38,"Ejecutado")</x:f>
        <x:v>10</x:v>
      </x:c>
      <x:c r="F19" s="14" t="n">
        <x:f>COUNTIF(Plan_2024!S7:S38,"Reprogramado")</x:f>
        <x:v>1</x:v>
      </x:c>
      <x:c r="G19" s="14" t="n">
        <x:f>COUNTIF(Plan_2024!S7:S38,"Cancelado")</x:f>
        <x:v>1</x:v>
      </x:c>
      <x:c r="H19" s="69" t="n">
        <x:f>IF(D19=0,0,E19/D19)</x:f>
        <x:v>0.3125</x:v>
      </x:c>
    </x:row>
    <x:row r="20">
      <x:c r="A20" s="14" t="n">
        <x:v>2024</x:v>
      </x:c>
      <x:c r="B20" s="14" t="n">
        <x:v>5</x:v>
      </x:c>
      <x:c r="C20" s="14" t="str">
        <x:v>May</x:v>
      </x:c>
      <x:c r="D20" s="14" t="n">
        <x:f>COUNTIF(Plan_2024!T7:T38,"&lt;&gt;")</x:f>
        <x:v>32</x:v>
      </x:c>
      <x:c r="E20" s="14" t="n">
        <x:f>COUNTIF(Plan_2024!T7:T38,"Ejecutado")</x:f>
        <x:v>13</x:v>
      </x:c>
      <x:c r="F20" s="14" t="n">
        <x:f>COUNTIF(Plan_2024!T7:T38,"Reprogramado")</x:f>
        <x:v>0</x:v>
      </x:c>
      <x:c r="G20" s="14" t="n">
        <x:f>COUNTIF(Plan_2024!T7:T38,"Cancelado")</x:f>
        <x:v>0</x:v>
      </x:c>
      <x:c r="H20" s="69" t="n">
        <x:f>IF(D20=0,0,E20/D20)</x:f>
        <x:v>0.40625</x:v>
      </x:c>
    </x:row>
    <x:row r="21">
      <x:c r="A21" s="14" t="n">
        <x:v>2024</x:v>
      </x:c>
      <x:c r="B21" s="14" t="n">
        <x:v>6</x:v>
      </x:c>
      <x:c r="C21" s="14" t="str">
        <x:v>Jun</x:v>
      </x:c>
      <x:c r="D21" s="14" t="n">
        <x:f>COUNTIF(Plan_2024!U7:U38,"&lt;&gt;")</x:f>
        <x:v>32</x:v>
      </x:c>
      <x:c r="E21" s="14" t="n">
        <x:f>COUNTIF(Plan_2024!U7:U38,"Ejecutado")</x:f>
        <x:v>14</x:v>
      </x:c>
      <x:c r="F21" s="14" t="n">
        <x:f>COUNTIF(Plan_2024!U7:U38,"Reprogramado")</x:f>
        <x:v>0</x:v>
      </x:c>
      <x:c r="G21" s="14" t="n">
        <x:f>COUNTIF(Plan_2024!U7:U38,"Cancelado")</x:f>
        <x:v>0</x:v>
      </x:c>
      <x:c r="H21" s="69" t="n">
        <x:f>IF(D21=0,0,E21/D21)</x:f>
        <x:v>0.4375</x:v>
      </x:c>
    </x:row>
    <x:row r="22">
      <x:c r="A22" s="14" t="n">
        <x:v>2024</x:v>
      </x:c>
      <x:c r="B22" s="14" t="n">
        <x:v>7</x:v>
      </x:c>
      <x:c r="C22" s="14" t="str">
        <x:v>Jul</x:v>
      </x:c>
      <x:c r="D22" s="14" t="n">
        <x:f>COUNTIF(Plan_2024!V7:V38,"&lt;&gt;")</x:f>
        <x:v>32</x:v>
      </x:c>
      <x:c r="E22" s="14" t="n">
        <x:f>COUNTIF(Plan_2024!V7:V38,"Ejecutado")</x:f>
        <x:v>10</x:v>
      </x:c>
      <x:c r="F22" s="14" t="n">
        <x:f>COUNTIF(Plan_2024!V7:V38,"Reprogramado")</x:f>
        <x:v>0</x:v>
      </x:c>
      <x:c r="G22" s="14" t="n">
        <x:f>COUNTIF(Plan_2024!V7:V38,"Cancelado")</x:f>
        <x:v>0</x:v>
      </x:c>
      <x:c r="H22" s="69" t="n">
        <x:f>IF(D22=0,0,E22/D22)</x:f>
        <x:v>0.3125</x:v>
      </x:c>
    </x:row>
    <x:row r="23">
      <x:c r="A23" s="14" t="n">
        <x:v>2024</x:v>
      </x:c>
      <x:c r="B23" s="14" t="n">
        <x:v>8</x:v>
      </x:c>
      <x:c r="C23" s="14" t="str">
        <x:v>Ago</x:v>
      </x:c>
      <x:c r="D23" s="14" t="n">
        <x:f>COUNTIF(Plan_2024!W7:W38,"&lt;&gt;")</x:f>
        <x:v>32</x:v>
      </x:c>
      <x:c r="E23" s="14" t="n">
        <x:f>COUNTIF(Plan_2024!W7:W38,"Ejecutado")</x:f>
        <x:v>13</x:v>
      </x:c>
      <x:c r="F23" s="14" t="n">
        <x:f>COUNTIF(Plan_2024!W7:W38,"Reprogramado")</x:f>
        <x:v>0</x:v>
      </x:c>
      <x:c r="G23" s="14" t="n">
        <x:f>COUNTIF(Plan_2024!W7:W38,"Cancelado")</x:f>
        <x:v>0</x:v>
      </x:c>
      <x:c r="H23" s="69" t="n">
        <x:f>IF(D23=0,0,E23/D23)</x:f>
        <x:v>0.40625</x:v>
      </x:c>
    </x:row>
    <x:row r="24">
      <x:c r="A24" s="14" t="n">
        <x:v>2024</x:v>
      </x:c>
      <x:c r="B24" s="14" t="n">
        <x:v>9</x:v>
      </x:c>
      <x:c r="C24" s="14" t="str">
        <x:v>Sep</x:v>
      </x:c>
      <x:c r="D24" s="14" t="n">
        <x:f>COUNTIF(Plan_2024!X7:X38,"&lt;&gt;")</x:f>
        <x:v>32</x:v>
      </x:c>
      <x:c r="E24" s="14" t="n">
        <x:f>COUNTIF(Plan_2024!X7:X38,"Ejecutado")</x:f>
        <x:v>14</x:v>
      </x:c>
      <x:c r="F24" s="14" t="n">
        <x:f>COUNTIF(Plan_2024!X7:X38,"Reprogramado")</x:f>
        <x:v>0</x:v>
      </x:c>
      <x:c r="G24" s="14" t="n">
        <x:f>COUNTIF(Plan_2024!X7:X38,"Cancelado")</x:f>
        <x:v>0</x:v>
      </x:c>
      <x:c r="H24" s="69" t="n">
        <x:f>IF(D24=0,0,E24/D24)</x:f>
        <x:v>0.4375</x:v>
      </x:c>
    </x:row>
    <x:row r="25">
      <x:c r="A25" s="14" t="n">
        <x:v>2024</x:v>
      </x:c>
      <x:c r="B25" s="14" t="n">
        <x:v>10</x:v>
      </x:c>
      <x:c r="C25" s="14" t="str">
        <x:v>Oct</x:v>
      </x:c>
      <x:c r="D25" s="14" t="n">
        <x:f>COUNTIF(Plan_2024!Y7:Y38,"&lt;&gt;")</x:f>
        <x:v>32</x:v>
      </x:c>
      <x:c r="E25" s="14" t="n">
        <x:f>COUNTIF(Plan_2024!Y7:Y38,"Ejecutado")</x:f>
        <x:v>12</x:v>
      </x:c>
      <x:c r="F25" s="14" t="n">
        <x:f>COUNTIF(Plan_2024!Y7:Y38,"Reprogramado")</x:f>
        <x:v>0</x:v>
      </x:c>
      <x:c r="G25" s="14" t="n">
        <x:f>COUNTIF(Plan_2024!Y7:Y38,"Cancelado")</x:f>
        <x:v>0</x:v>
      </x:c>
      <x:c r="H25" s="69" t="n">
        <x:f>IF(D25=0,0,E25/D25)</x:f>
        <x:v>0.375</x:v>
      </x:c>
    </x:row>
    <x:row r="26">
      <x:c r="A26" s="14" t="n">
        <x:v>2024</x:v>
      </x:c>
      <x:c r="B26" s="14" t="n">
        <x:v>11</x:v>
      </x:c>
      <x:c r="C26" s="14" t="str">
        <x:v>Nov</x:v>
      </x:c>
      <x:c r="D26" s="14" t="n">
        <x:f>COUNTIF(Plan_2024!Z7:Z38,"&lt;&gt;")</x:f>
        <x:v>32</x:v>
      </x:c>
      <x:c r="E26" s="14" t="n">
        <x:f>COUNTIF(Plan_2024!Z7:Z38,"Ejecutado")</x:f>
        <x:v>14</x:v>
      </x:c>
      <x:c r="F26" s="14" t="n">
        <x:f>COUNTIF(Plan_2024!Z7:Z38,"Reprogramado")</x:f>
        <x:v>0</x:v>
      </x:c>
      <x:c r="G26" s="14" t="n">
        <x:f>COUNTIF(Plan_2024!Z7:Z38,"Cancelado")</x:f>
        <x:v>0</x:v>
      </x:c>
      <x:c r="H26" s="69" t="n">
        <x:f>IF(D26=0,0,E26/D26)</x:f>
        <x:v>0.4375</x:v>
      </x:c>
    </x:row>
    <x:row r="27">
      <x:c r="A27" s="14" t="n">
        <x:v>2024</x:v>
      </x:c>
      <x:c r="B27" s="14" t="n">
        <x:v>12</x:v>
      </x:c>
      <x:c r="C27" s="14" t="str">
        <x:v>Dic</x:v>
      </x:c>
      <x:c r="D27" s="14" t="n">
        <x:f>COUNTIF(Plan_2024!AA7:AA38,"&lt;&gt;")</x:f>
        <x:v>32</x:v>
      </x:c>
      <x:c r="E27" s="14" t="n">
        <x:f>COUNTIF(Plan_2024!AA7:AA38,"Ejecutado")</x:f>
        <x:v>13</x:v>
      </x:c>
      <x:c r="F27" s="14" t="n">
        <x:f>COUNTIF(Plan_2024!AA7:AA38,"Reprogramado")</x:f>
        <x:v>1</x:v>
      </x:c>
      <x:c r="G27" s="14" t="n">
        <x:f>COUNTIF(Plan_2024!AA7:AA38,"Cancelado")</x:f>
        <x:v>1</x:v>
      </x:c>
      <x:c r="H27" s="69" t="n">
        <x:f>IF(D27=0,0,E27/D27)</x:f>
        <x:v>0.40625</x:v>
      </x:c>
    </x:row>
    <x:row r="28">
      <x:c r="A28" s="14" t="n">
        <x:v>2025</x:v>
      </x:c>
      <x:c r="B28" s="14" t="n">
        <x:v>1</x:v>
      </x:c>
      <x:c r="C28" s="14" t="str">
        <x:v>Ene</x:v>
      </x:c>
      <x:c r="D28" s="14" t="n">
        <x:f>COUNTIF(Plan_2025!P7:P38,"&lt;&gt;")</x:f>
        <x:v>32</x:v>
      </x:c>
      <x:c r="E28" s="14" t="n">
        <x:f>COUNTIF(Plan_2025!P7:P38,"Ejecutado")</x:f>
        <x:v>16</x:v>
      </x:c>
      <x:c r="F28" s="14" t="n">
        <x:f>COUNTIF(Plan_2025!P7:P38,"Reprogramado")</x:f>
        <x:v>0</x:v>
      </x:c>
      <x:c r="G28" s="14" t="n">
        <x:f>COUNTIF(Plan_2025!P7:P38,"Cancelado")</x:f>
        <x:v>0</x:v>
      </x:c>
      <x:c r="H28" s="69" t="n">
        <x:f>IF(D28=0,0,E28/D28)</x:f>
        <x:v>0.5</x:v>
      </x:c>
    </x:row>
    <x:row r="29">
      <x:c r="A29" s="14" t="n">
        <x:v>2025</x:v>
      </x:c>
      <x:c r="B29" s="14" t="n">
        <x:v>2</x:v>
      </x:c>
      <x:c r="C29" s="14" t="str">
        <x:v>Feb</x:v>
      </x:c>
      <x:c r="D29" s="14" t="n">
        <x:f>COUNTIF(Plan_2025!Q7:Q38,"&lt;&gt;")</x:f>
        <x:v>32</x:v>
      </x:c>
      <x:c r="E29" s="14" t="n">
        <x:f>COUNTIF(Plan_2025!Q7:Q38,"Ejecutado")</x:f>
        <x:v>15</x:v>
      </x:c>
      <x:c r="F29" s="14" t="n">
        <x:f>COUNTIF(Plan_2025!Q7:Q38,"Reprogramado")</x:f>
        <x:v>0</x:v>
      </x:c>
      <x:c r="G29" s="14" t="n">
        <x:f>COUNTIF(Plan_2025!Q7:Q38,"Cancelado")</x:f>
        <x:v>0</x:v>
      </x:c>
      <x:c r="H29" s="69" t="n">
        <x:f>IF(D29=0,0,E29/D29)</x:f>
        <x:v>0.46875</x:v>
      </x:c>
    </x:row>
    <x:row r="30">
      <x:c r="A30" s="14" t="n">
        <x:v>2025</x:v>
      </x:c>
      <x:c r="B30" s="14" t="n">
        <x:v>3</x:v>
      </x:c>
      <x:c r="C30" s="14" t="str">
        <x:v>Mar</x:v>
      </x:c>
      <x:c r="D30" s="14" t="n">
        <x:f>COUNTIF(Plan_2025!R7:R38,"&lt;&gt;")</x:f>
        <x:v>32</x:v>
      </x:c>
      <x:c r="E30" s="14" t="n">
        <x:f>COUNTIF(Plan_2025!R7:R38,"Ejecutado")</x:f>
        <x:v>14</x:v>
      </x:c>
      <x:c r="F30" s="14" t="n">
        <x:f>COUNTIF(Plan_2025!R7:R38,"Reprogramado")</x:f>
        <x:v>0</x:v>
      </x:c>
      <x:c r="G30" s="14" t="n">
        <x:f>COUNTIF(Plan_2025!R7:R38,"Cancelado")</x:f>
        <x:v>0</x:v>
      </x:c>
      <x:c r="H30" s="69" t="n">
        <x:f>IF(D30=0,0,E30/D30)</x:f>
        <x:v>0.4375</x:v>
      </x:c>
    </x:row>
    <x:row r="31">
      <x:c r="A31" s="14" t="n">
        <x:v>2025</x:v>
      </x:c>
      <x:c r="B31" s="14" t="n">
        <x:v>4</x:v>
      </x:c>
      <x:c r="C31" s="14" t="str">
        <x:v>Abr</x:v>
      </x:c>
      <x:c r="D31" s="14" t="n">
        <x:f>COUNTIF(Plan_2025!S7:S38,"&lt;&gt;")</x:f>
        <x:v>32</x:v>
      </x:c>
      <x:c r="E31" s="14" t="n">
        <x:f>COUNTIF(Plan_2025!S7:S38,"Ejecutado")</x:f>
        <x:v>12</x:v>
      </x:c>
      <x:c r="F31" s="14" t="n">
        <x:f>COUNTIF(Plan_2025!S7:S38,"Reprogramado")</x:f>
        <x:v>0</x:v>
      </x:c>
      <x:c r="G31" s="14" t="n">
        <x:f>COUNTIF(Plan_2025!S7:S38,"Cancelado")</x:f>
        <x:v>0</x:v>
      </x:c>
      <x:c r="H31" s="69" t="n">
        <x:f>IF(D31=0,0,E31/D31)</x:f>
        <x:v>0.375</x:v>
      </x:c>
    </x:row>
    <x:row r="32">
      <x:c r="A32" s="14" t="n">
        <x:v>2025</x:v>
      </x:c>
      <x:c r="B32" s="14" t="n">
        <x:v>5</x:v>
      </x:c>
      <x:c r="C32" s="14" t="str">
        <x:v>May</x:v>
      </x:c>
      <x:c r="D32" s="14" t="n">
        <x:f>COUNTIF(Plan_2025!T7:T38,"&lt;&gt;")</x:f>
        <x:v>32</x:v>
      </x:c>
      <x:c r="E32" s="14" t="n">
        <x:f>COUNTIF(Plan_2025!T7:T38,"Ejecutado")</x:f>
        <x:v>13</x:v>
      </x:c>
      <x:c r="F32" s="14" t="n">
        <x:f>COUNTIF(Plan_2025!T7:T38,"Reprogramado")</x:f>
        <x:v>0</x:v>
      </x:c>
      <x:c r="G32" s="14" t="n">
        <x:f>COUNTIF(Plan_2025!T7:T38,"Cancelado")</x:f>
        <x:v>0</x:v>
      </x:c>
      <x:c r="H32" s="69" t="n">
        <x:f>IF(D32=0,0,E32/D32)</x:f>
        <x:v>0.40625</x:v>
      </x:c>
    </x:row>
    <x:row r="33">
      <x:c r="A33" s="14" t="n">
        <x:v>2025</x:v>
      </x:c>
      <x:c r="B33" s="14" t="n">
        <x:v>6</x:v>
      </x:c>
      <x:c r="C33" s="14" t="str">
        <x:v>Jun</x:v>
      </x:c>
      <x:c r="D33" s="14" t="n">
        <x:f>COUNTIF(Plan_2025!U7:U38,"&lt;&gt;")</x:f>
        <x:v>32</x:v>
      </x:c>
      <x:c r="E33" s="14" t="n">
        <x:f>COUNTIF(Plan_2025!U7:U38,"Ejecutado")</x:f>
        <x:v>13</x:v>
      </x:c>
      <x:c r="F33" s="14" t="n">
        <x:f>COUNTIF(Plan_2025!U7:U38,"Reprogramado")</x:f>
        <x:v>1</x:v>
      </x:c>
      <x:c r="G33" s="14" t="n">
        <x:f>COUNTIF(Plan_2025!U7:U38,"Cancelado")</x:f>
        <x:v>0</x:v>
      </x:c>
      <x:c r="H33" s="69" t="n">
        <x:f>IF(D33=0,0,E33/D33)</x:f>
        <x:v>0.40625</x:v>
      </x:c>
    </x:row>
    <x:row r="34">
      <x:c r="A34" s="14" t="n">
        <x:v>2025</x:v>
      </x:c>
      <x:c r="B34" s="14" t="n">
        <x:v>7</x:v>
      </x:c>
      <x:c r="C34" s="14" t="str">
        <x:v>Jul</x:v>
      </x:c>
      <x:c r="D34" s="14" t="n">
        <x:f>COUNTIF(Plan_2025!V7:V38,"&lt;&gt;")</x:f>
        <x:v>32</x:v>
      </x:c>
      <x:c r="E34" s="14" t="n">
        <x:f>COUNTIF(Plan_2025!V7:V38,"Ejecutado")</x:f>
        <x:v>10</x:v>
      </x:c>
      <x:c r="F34" s="14" t="n">
        <x:f>COUNTIF(Plan_2025!V7:V38,"Reprogramado")</x:f>
        <x:v>0</x:v>
      </x:c>
      <x:c r="G34" s="14" t="n">
        <x:f>COUNTIF(Plan_2025!V7:V38,"Cancelado")</x:f>
        <x:v>0</x:v>
      </x:c>
      <x:c r="H34" s="69" t="n">
        <x:f>IF(D34=0,0,E34/D34)</x:f>
        <x:v>0.3125</x:v>
      </x:c>
    </x:row>
    <x:row r="35">
      <x:c r="A35" s="14" t="n">
        <x:v>2025</x:v>
      </x:c>
      <x:c r="B35" s="14" t="n">
        <x:v>8</x:v>
      </x:c>
      <x:c r="C35" s="14" t="str">
        <x:v>Ago</x:v>
      </x:c>
      <x:c r="D35" s="14" t="n">
        <x:f>COUNTIF(Plan_2025!W7:W38,"&lt;&gt;")</x:f>
        <x:v>32</x:v>
      </x:c>
      <x:c r="E35" s="14" t="n">
        <x:f>COUNTIF(Plan_2025!W7:W38,"Ejecutado")</x:f>
        <x:v>13</x:v>
      </x:c>
      <x:c r="F35" s="14" t="n">
        <x:f>COUNTIF(Plan_2025!W7:W38,"Reprogramado")</x:f>
        <x:v>0</x:v>
      </x:c>
      <x:c r="G35" s="14" t="n">
        <x:f>COUNTIF(Plan_2025!W7:W38,"Cancelado")</x:f>
        <x:v>0</x:v>
      </x:c>
      <x:c r="H35" s="69" t="n">
        <x:f>IF(D35=0,0,E35/D35)</x:f>
        <x:v>0.40625</x:v>
      </x:c>
    </x:row>
    <x:row r="36">
      <x:c r="A36" s="14" t="n">
        <x:v>2025</x:v>
      </x:c>
      <x:c r="B36" s="14" t="n">
        <x:v>9</x:v>
      </x:c>
      <x:c r="C36" s="14" t="str">
        <x:v>Sep</x:v>
      </x:c>
      <x:c r="D36" s="14" t="n">
        <x:f>COUNTIF(Plan_2025!X7:X38,"&lt;&gt;")</x:f>
        <x:v>32</x:v>
      </x:c>
      <x:c r="E36" s="14" t="n">
        <x:f>COUNTIF(Plan_2025!X7:X38,"Ejecutado")</x:f>
        <x:v>13</x:v>
      </x:c>
      <x:c r="F36" s="14" t="n">
        <x:f>COUNTIF(Plan_2025!X7:X38,"Reprogramado")</x:f>
        <x:v>0</x:v>
      </x:c>
      <x:c r="G36" s="14" t="n">
        <x:f>COUNTIF(Plan_2025!X7:X38,"Cancelado")</x:f>
        <x:v>1</x:v>
      </x:c>
      <x:c r="H36" s="69" t="n">
        <x:f>IF(D36=0,0,E36/D36)</x:f>
        <x:v>0.40625</x:v>
      </x:c>
    </x:row>
    <x:row r="37">
      <x:c r="A37" s="14" t="n">
        <x:v>2025</x:v>
      </x:c>
      <x:c r="B37" s="14" t="n">
        <x:v>10</x:v>
      </x:c>
      <x:c r="C37" s="14" t="str">
        <x:v>Oct</x:v>
      </x:c>
      <x:c r="D37" s="14" t="n">
        <x:f>COUNTIF(Plan_2025!Y7:Y38,"&lt;&gt;")</x:f>
        <x:v>32</x:v>
      </x:c>
      <x:c r="E37" s="14" t="n">
        <x:f>COUNTIF(Plan_2025!Y7:Y38,"Ejecutado")</x:f>
        <x:v>12</x:v>
      </x:c>
      <x:c r="F37" s="14" t="n">
        <x:f>COUNTIF(Plan_2025!Y7:Y38,"Reprogramado")</x:f>
        <x:v>0</x:v>
      </x:c>
      <x:c r="G37" s="14" t="n">
        <x:f>COUNTIF(Plan_2025!Y7:Y38,"Cancelado")</x:f>
        <x:v>0</x:v>
      </x:c>
      <x:c r="H37" s="69" t="n">
        <x:f>IF(D37=0,0,E37/D37)</x:f>
        <x:v>0.375</x:v>
      </x:c>
    </x:row>
    <x:row r="38">
      <x:c r="A38" s="14" t="n">
        <x:v>2025</x:v>
      </x:c>
      <x:c r="B38" s="14" t="n">
        <x:v>11</x:v>
      </x:c>
      <x:c r="C38" s="14" t="str">
        <x:v>Nov</x:v>
      </x:c>
      <x:c r="D38" s="14" t="n">
        <x:f>COUNTIF(Plan_2025!Z7:Z38,"&lt;&gt;")</x:f>
        <x:v>32</x:v>
      </x:c>
      <x:c r="E38" s="14" t="n">
        <x:f>COUNTIF(Plan_2025!Z7:Z38,"Ejecutado")</x:f>
        <x:v>13</x:v>
      </x:c>
      <x:c r="F38" s="14" t="n">
        <x:f>COUNTIF(Plan_2025!Z7:Z38,"Reprogramado")</x:f>
        <x:v>1</x:v>
      </x:c>
      <x:c r="G38" s="14" t="n">
        <x:f>COUNTIF(Plan_2025!Z7:Z38,"Cancelado")</x:f>
        <x:v>0</x:v>
      </x:c>
      <x:c r="H38" s="69" t="n">
        <x:f>IF(D38=0,0,E38/D38)</x:f>
        <x:v>0.40625</x:v>
      </x:c>
    </x:row>
    <x:row r="39">
      <x:c r="A39" s="14" t="n">
        <x:v>2025</x:v>
      </x:c>
      <x:c r="B39" s="14" t="n">
        <x:v>12</x:v>
      </x:c>
      <x:c r="C39" s="14" t="str">
        <x:v>Dic</x:v>
      </x:c>
      <x:c r="D39" s="14" t="n">
        <x:f>COUNTIF(Plan_2025!AA7:AA38,"&lt;&gt;")</x:f>
        <x:v>32</x:v>
      </x:c>
      <x:c r="E39" s="14" t="n">
        <x:f>COUNTIF(Plan_2025!AA7:AA38,"Ejecutado")</x:f>
        <x:v>15</x:v>
      </x:c>
      <x:c r="F39" s="14" t="n">
        <x:f>COUNTIF(Plan_2025!AA7:AA38,"Reprogramado")</x:f>
        <x:v>0</x:v>
      </x:c>
      <x:c r="G39" s="14" t="n">
        <x:f>COUNTIF(Plan_2025!AA7:AA38,"Cancelado")</x:f>
        <x:v>0</x:v>
      </x:c>
      <x:c r="H39" s="69" t="n">
        <x:f>IF(D39=0,0,E39/D39)</x:f>
        <x:v>0.46875</x:v>
      </x:c>
    </x:row>
    <x:row r="40">
      <x:c r="A40" s="14" t="n">
        <x:v>2026</x:v>
      </x:c>
      <x:c r="B40" s="14" t="n">
        <x:v>1</x:v>
      </x:c>
      <x:c r="C40" s="14" t="str">
        <x:v>Ene</x:v>
      </x:c>
      <x:c r="D40" s="14" t="n">
        <x:f>COUNTIF(Plan_2026!P7:P38,"&lt;&gt;")</x:f>
        <x:v>32</x:v>
      </x:c>
      <x:c r="E40" s="14" t="n">
        <x:f>COUNTIF(Plan_2026!P7:P38,"Ejecutado")</x:f>
        <x:v>14</x:v>
      </x:c>
      <x:c r="F40" s="14" t="n">
        <x:f>COUNTIF(Plan_2026!P7:P38,"Reprogramado")</x:f>
        <x:v>1</x:v>
      </x:c>
      <x:c r="G40" s="14" t="n">
        <x:f>COUNTIF(Plan_2026!P7:P38,"Cancelado")</x:f>
        <x:v>1</x:v>
      </x:c>
      <x:c r="H40" s="69" t="n">
        <x:f>IF(D40=0,0,E40/D40)</x:f>
        <x:v>0.4375</x:v>
      </x:c>
    </x:row>
    <x:row r="41">
      <x:c r="A41" s="14" t="n">
        <x:v>2026</x:v>
      </x:c>
      <x:c r="B41" s="14" t="n">
        <x:v>2</x:v>
      </x:c>
      <x:c r="C41" s="14" t="str">
        <x:v>Feb</x:v>
      </x:c>
      <x:c r="D41" s="14" t="n">
        <x:f>COUNTIF(Plan_2026!Q7:Q38,"&lt;&gt;")</x:f>
        <x:v>32</x:v>
      </x:c>
      <x:c r="E41" s="14" t="n">
        <x:f>COUNTIF(Plan_2026!Q7:Q38,"Ejecutado")</x:f>
        <x:v>15</x:v>
      </x:c>
      <x:c r="F41" s="14" t="n">
        <x:f>COUNTIF(Plan_2026!Q7:Q38,"Reprogramado")</x:f>
        <x:v>0</x:v>
      </x:c>
      <x:c r="G41" s="14" t="n">
        <x:f>COUNTIF(Plan_2026!Q7:Q38,"Cancelado")</x:f>
        <x:v>0</x:v>
      </x:c>
      <x:c r="H41" s="69" t="n">
        <x:f>IF(D41=0,0,E41/D41)</x:f>
        <x:v>0.46875</x:v>
      </x:c>
    </x:row>
    <x:row r="42">
      <x:c r="A42" s="14" t="n">
        <x:v>2026</x:v>
      </x:c>
      <x:c r="B42" s="14" t="n">
        <x:v>3</x:v>
      </x:c>
      <x:c r="C42" s="14" t="str">
        <x:v>Mar</x:v>
      </x:c>
      <x:c r="D42" s="14" t="n">
        <x:f>COUNTIF(Plan_2026!R7:R38,"&lt;&gt;")</x:f>
        <x:v>32</x:v>
      </x:c>
      <x:c r="E42" s="14" t="n">
        <x:f>COUNTIF(Plan_2026!R7:R38,"Ejecutado")</x:f>
        <x:v>14</x:v>
      </x:c>
      <x:c r="F42" s="14" t="n">
        <x:f>COUNTIF(Plan_2026!R7:R38,"Reprogramado")</x:f>
        <x:v>0</x:v>
      </x:c>
      <x:c r="G42" s="14" t="n">
        <x:f>COUNTIF(Plan_2026!R7:R38,"Cancelado")</x:f>
        <x:v>0</x:v>
      </x:c>
      <x:c r="H42" s="69" t="n">
        <x:f>IF(D42=0,0,E42/D42)</x:f>
        <x:v>0.4375</x:v>
      </x:c>
    </x:row>
    <x:row r="43">
      <x:c r="A43" s="14" t="n">
        <x:v>2026</x:v>
      </x:c>
      <x:c r="B43" s="14" t="n">
        <x:v>4</x:v>
      </x:c>
      <x:c r="C43" s="14" t="str">
        <x:v>Abr</x:v>
      </x:c>
      <x:c r="D43" s="14" t="n">
        <x:f>COUNTIF(Plan_2026!S7:S38,"&lt;&gt;")</x:f>
        <x:v>32</x:v>
      </x:c>
      <x:c r="E43" s="14" t="n">
        <x:f>COUNTIF(Plan_2026!S7:S38,"Ejecutado")</x:f>
        <x:v>12</x:v>
      </x:c>
      <x:c r="F43" s="14" t="n">
        <x:f>COUNTIF(Plan_2026!S7:S38,"Reprogramado")</x:f>
        <x:v>0</x:v>
      </x:c>
      <x:c r="G43" s="14" t="n">
        <x:f>COUNTIF(Plan_2026!S7:S38,"Cancelado")</x:f>
        <x:v>0</x:v>
      </x:c>
      <x:c r="H43" s="69" t="n">
        <x:f>IF(D43=0,0,E43/D43)</x:f>
        <x:v>0.375</x:v>
      </x:c>
    </x:row>
    <x:row r="44">
      <x:c r="A44" s="14" t="n">
        <x:v>2026</x:v>
      </x:c>
      <x:c r="B44" s="14" t="n">
        <x:v>5</x:v>
      </x:c>
      <x:c r="C44" s="14" t="str">
        <x:v>May</x:v>
      </x:c>
      <x:c r="D44" s="14" t="n">
        <x:f>COUNTIF(Plan_2026!T7:T38,"&lt;&gt;")</x:f>
        <x:v>32</x:v>
      </x:c>
      <x:c r="E44" s="14" t="n">
        <x:f>COUNTIF(Plan_2026!T7:T38,"Ejecutado")</x:f>
        <x:v>11</x:v>
      </x:c>
      <x:c r="F44" s="14" t="n">
        <x:f>COUNTIF(Plan_2026!T7:T38,"Reprogramado")</x:f>
        <x:v>2</x:v>
      </x:c>
      <x:c r="G44" s="14" t="n">
        <x:f>COUNTIF(Plan_2026!T7:T38,"Cancelado")</x:f>
        <x:v>0</x:v>
      </x:c>
      <x:c r="H44" s="69" t="n">
        <x:f>IF(D44=0,0,E44/D44)</x:f>
        <x:v>0.34375</x:v>
      </x:c>
    </x:row>
    <x:row r="45">
      <x:c r="A45" s="14" t="n">
        <x:v>2026</x:v>
      </x:c>
      <x:c r="B45" s="14" t="n">
        <x:v>6</x:v>
      </x:c>
      <x:c r="C45" s="14" t="str">
        <x:v>Jun</x:v>
      </x:c>
      <x:c r="D45" s="14" t="n">
        <x:f>COUNTIF(Plan_2026!U7:U38,"&lt;&gt;")</x:f>
        <x:v>32</x:v>
      </x:c>
      <x:c r="E45" s="14" t="n">
        <x:f>COUNTIF(Plan_2026!U7:U38,"Ejecutado")</x:f>
        <x:v>0</x:v>
      </x:c>
      <x:c r="F45" s="14" t="n">
        <x:f>COUNTIF(Plan_2026!U7:U38,"Reprogramado")</x:f>
        <x:v>0</x:v>
      </x:c>
      <x:c r="G45" s="14" t="n">
        <x:f>COUNTIF(Plan_2026!U7:U38,"Cancelado")</x:f>
        <x:v>0</x:v>
      </x:c>
      <x:c r="H45" s="69" t="n">
        <x:f>IF(D45=0,0,E45/D45)</x:f>
        <x:v>0</x:v>
      </x:c>
    </x:row>
    <x:row r="46">
      <x:c r="A46" s="14" t="n">
        <x:v>2026</x:v>
      </x:c>
      <x:c r="B46" s="14" t="n">
        <x:v>7</x:v>
      </x:c>
      <x:c r="C46" s="14" t="str">
        <x:v>Jul</x:v>
      </x:c>
      <x:c r="D46" s="14" t="n">
        <x:f>COUNTIF(Plan_2026!V7:V38,"&lt;&gt;")</x:f>
        <x:v>32</x:v>
      </x:c>
      <x:c r="E46" s="14" t="n">
        <x:f>COUNTIF(Plan_2026!V7:V38,"Ejecutado")</x:f>
        <x:v>0</x:v>
      </x:c>
      <x:c r="F46" s="14" t="n">
        <x:f>COUNTIF(Plan_2026!V7:V38,"Reprogramado")</x:f>
        <x:v>0</x:v>
      </x:c>
      <x:c r="G46" s="14" t="n">
        <x:f>COUNTIF(Plan_2026!V7:V38,"Cancelado")</x:f>
        <x:v>0</x:v>
      </x:c>
      <x:c r="H46" s="69" t="n">
        <x:f>IF(D46=0,0,E46/D46)</x:f>
        <x:v>0</x:v>
      </x:c>
    </x:row>
    <x:row r="47">
      <x:c r="A47" s="14" t="n">
        <x:v>2026</x:v>
      </x:c>
      <x:c r="B47" s="14" t="n">
        <x:v>8</x:v>
      </x:c>
      <x:c r="C47" s="14" t="str">
        <x:v>Ago</x:v>
      </x:c>
      <x:c r="D47" s="14" t="n">
        <x:f>COUNTIF(Plan_2026!W7:W38,"&lt;&gt;")</x:f>
        <x:v>32</x:v>
      </x:c>
      <x:c r="E47" s="14" t="n">
        <x:f>COUNTIF(Plan_2026!W7:W38,"Ejecutado")</x:f>
        <x:v>0</x:v>
      </x:c>
      <x:c r="F47" s="14" t="n">
        <x:f>COUNTIF(Plan_2026!W7:W38,"Reprogramado")</x:f>
        <x:v>0</x:v>
      </x:c>
      <x:c r="G47" s="14" t="n">
        <x:f>COUNTIF(Plan_2026!W7:W38,"Cancelado")</x:f>
        <x:v>0</x:v>
      </x:c>
      <x:c r="H47" s="69" t="n">
        <x:f>IF(D47=0,0,E47/D47)</x:f>
        <x:v>0</x:v>
      </x:c>
    </x:row>
    <x:row r="48">
      <x:c r="A48" s="14" t="n">
        <x:v>2026</x:v>
      </x:c>
      <x:c r="B48" s="14" t="n">
        <x:v>9</x:v>
      </x:c>
      <x:c r="C48" s="14" t="str">
        <x:v>Sep</x:v>
      </x:c>
      <x:c r="D48" s="14" t="n">
        <x:f>COUNTIF(Plan_2026!X7:X38,"&lt;&gt;")</x:f>
        <x:v>32</x:v>
      </x:c>
      <x:c r="E48" s="14" t="n">
        <x:f>COUNTIF(Plan_2026!X7:X38,"Ejecutado")</x:f>
        <x:v>0</x:v>
      </x:c>
      <x:c r="F48" s="14" t="n">
        <x:f>COUNTIF(Plan_2026!X7:X38,"Reprogramado")</x:f>
        <x:v>0</x:v>
      </x:c>
      <x:c r="G48" s="14" t="n">
        <x:f>COUNTIF(Plan_2026!X7:X38,"Cancelado")</x:f>
        <x:v>0</x:v>
      </x:c>
      <x:c r="H48" s="69" t="n">
        <x:f>IF(D48=0,0,E48/D48)</x:f>
        <x:v>0</x:v>
      </x:c>
    </x:row>
    <x:row r="49">
      <x:c r="A49" s="14" t="n">
        <x:v>2026</x:v>
      </x:c>
      <x:c r="B49" s="14" t="n">
        <x:v>10</x:v>
      </x:c>
      <x:c r="C49" s="14" t="str">
        <x:v>Oct</x:v>
      </x:c>
      <x:c r="D49" s="14" t="n">
        <x:f>COUNTIF(Plan_2026!Y7:Y38,"&lt;&gt;")</x:f>
        <x:v>32</x:v>
      </x:c>
      <x:c r="E49" s="14" t="n">
        <x:f>COUNTIF(Plan_2026!Y7:Y38,"Ejecutado")</x:f>
        <x:v>0</x:v>
      </x:c>
      <x:c r="F49" s="14" t="n">
        <x:f>COUNTIF(Plan_2026!Y7:Y38,"Reprogramado")</x:f>
        <x:v>0</x:v>
      </x:c>
      <x:c r="G49" s="14" t="n">
        <x:f>COUNTIF(Plan_2026!Y7:Y38,"Cancelado")</x:f>
        <x:v>0</x:v>
      </x:c>
      <x:c r="H49" s="69" t="n">
        <x:f>IF(D49=0,0,E49/D49)</x:f>
        <x:v>0</x:v>
      </x:c>
    </x:row>
    <x:row r="50">
      <x:c r="A50" s="14" t="n">
        <x:v>2026</x:v>
      </x:c>
      <x:c r="B50" s="14" t="n">
        <x:v>11</x:v>
      </x:c>
      <x:c r="C50" s="14" t="str">
        <x:v>Nov</x:v>
      </x:c>
      <x:c r="D50" s="14" t="n">
        <x:f>COUNTIF(Plan_2026!Z7:Z38,"&lt;&gt;")</x:f>
        <x:v>32</x:v>
      </x:c>
      <x:c r="E50" s="14" t="n">
        <x:f>COUNTIF(Plan_2026!Z7:Z38,"Ejecutado")</x:f>
        <x:v>0</x:v>
      </x:c>
      <x:c r="F50" s="14" t="n">
        <x:f>COUNTIF(Plan_2026!Z7:Z38,"Reprogramado")</x:f>
        <x:v>0</x:v>
      </x:c>
      <x:c r="G50" s="14" t="n">
        <x:f>COUNTIF(Plan_2026!Z7:Z38,"Cancelado")</x:f>
        <x:v>0</x:v>
      </x:c>
      <x:c r="H50" s="69" t="n">
        <x:f>IF(D50=0,0,E50/D50)</x:f>
        <x:v>0</x:v>
      </x:c>
    </x:row>
    <x:row r="51">
      <x:c r="A51" s="14" t="n">
        <x:v>2026</x:v>
      </x:c>
      <x:c r="B51" s="14" t="n">
        <x:v>12</x:v>
      </x:c>
      <x:c r="C51" s="14" t="str">
        <x:v>Dic</x:v>
      </x:c>
      <x:c r="D51" s="14" t="n">
        <x:f>COUNTIF(Plan_2026!AA7:AA38,"&lt;&gt;")</x:f>
        <x:v>32</x:v>
      </x:c>
      <x:c r="E51" s="14" t="n">
        <x:f>COUNTIF(Plan_2026!AA7:AA38,"Ejecutado")</x:f>
        <x:v>0</x:v>
      </x:c>
      <x:c r="F51" s="14" t="n">
        <x:f>COUNTIF(Plan_2026!AA7:AA38,"Reprogramado")</x:f>
        <x:v>0</x:v>
      </x:c>
      <x:c r="G51" s="14" t="n">
        <x:f>COUNTIF(Plan_2026!AA7:AA38,"Cancelado")</x:f>
        <x:v>0</x:v>
      </x:c>
      <x:c r="H51" s="69" t="n">
        <x:f>IF(D51=0,0,E51/D51)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8" hidden="0" customWidth="1"/>
    <x:col min="8" max="8" width="4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4" hidden="0" customWidth="1"/>
  </x:cols>
  <x:sheetData>
    <x:row r="1">
      <x:c r="A1" s="108" t="str">
        <x:v>Dashboard – Plan Anual de Trabajo SG-SST (PHVA)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108"/>
      <x:c r="N1" s="108"/>
    </x:row>
    <x:row r="2">
      <x:c r="A2" s="112" t="str">
        <x:v>Seguimiento del cumplimiento anual por ciclo PHVA, cronograma y recursos (simulación 2023-2026)</x:v>
      </x:c>
      <x:c r="B2" s="112"/>
      <x:c r="C2" s="112"/>
      <x:c r="D2" s="112"/>
      <x:c r="E2" s="112"/>
      <x:c r="F2" s="112"/>
      <x:c r="G2" s="112"/>
      <x:c r="H2" s="112"/>
      <x:c r="I2" s="112"/>
      <x:c r="J2" s="112"/>
      <x:c r="K2" s="112"/>
      <x:c r="L2" s="112"/>
      <x:c r="M2" s="112"/>
      <x:c r="N2" s="112"/>
    </x:row>
    <x:row r="4">
      <x:c r="A4" s="31" t="str">
        <x:v>KPIs clave 2026 (corte mayo)</x:v>
      </x:c>
      <x:c r="B4" t="str"/>
      <x:c r="C4" t="str"/>
      <x:c r="D4" t="str"/>
      <x:c r="E4" t="str"/>
      <x:c r="F4" t="str"/>
    </x:row>
    <x:row r="5">
      <x:c r="A5" s="118" t="str">
        <x:v>% cumplimiento global</x:v>
      </x:c>
      <x:c r="B5" s="118"/>
      <x:c r="C5" s="118" t="str">
        <x:v>Programadas a corte</x:v>
      </x:c>
      <x:c r="D5" s="118"/>
      <x:c r="E5" s="118" t="str">
        <x:v>Ejecutadas a corte</x:v>
      </x:c>
      <x:c r="F5" s="118"/>
      <x:c r="G5" s="118" t="str">
        <x:v>Cumplidas</x:v>
      </x:c>
      <x:c r="H5" s="118"/>
      <x:c r="I5" s="118" t="str">
        <x:v>En ejecución</x:v>
      </x:c>
      <x:c r="J5" s="118"/>
      <x:c r="K5" s="118" t="str">
        <x:v>Presupuesto estimado</x:v>
      </x:c>
      <x:c r="L5" s="118"/>
    </x:row>
    <x:row r="6">
      <x:c r="A6" s="129" t="n">
        <x:f>Resumen_Anual!F7</x:f>
        <x:v>0.9428571428571428</x:v>
      </x:c>
      <x:c r="B6" s="129"/>
      <x:c r="C6" s="125" t="n">
        <x:f>Resumen_Anual!D7</x:f>
        <x:v>70</x:v>
      </x:c>
      <x:c r="D6" s="125"/>
      <x:c r="E6" s="125" t="n">
        <x:f>Resumen_Anual!E7</x:f>
        <x:v>66</x:v>
      </x:c>
      <x:c r="F6" s="125"/>
      <x:c r="G6" s="125" t="n">
        <x:f>Resumen_Anual!G7</x:f>
        <x:v>24</x:v>
      </x:c>
      <x:c r="H6" s="125"/>
      <x:c r="I6" s="125" t="n">
        <x:f>Resumen_Anual!I7</x:f>
        <x:v>0</x:v>
      </x:c>
      <x:c r="J6" s="125"/>
      <x:c r="K6" s="131" t="n">
        <x:f>Resumen_Anual!L7</x:f>
        <x:v>90136100</x:v>
      </x:c>
      <x:c r="L6" s="131"/>
    </x:row>
    <x:row r="7">
      <x:c r="A7" s="129"/>
      <x:c r="B7" s="129"/>
      <x:c r="C7" s="125"/>
      <x:c r="D7" s="125"/>
      <x:c r="E7" s="125"/>
      <x:c r="F7" s="125"/>
      <x:c r="G7" s="125"/>
      <x:c r="H7" s="125"/>
      <x:c r="I7" s="125"/>
      <x:c r="J7" s="125"/>
      <x:c r="K7" s="131"/>
      <x:c r="L7" s="131"/>
    </x:row>
    <x:row r="10">
      <x:c r="A10" s="11" t="str">
        <x:v>Comparativo anual</x:v>
      </x:c>
      <x:c r="B10" s="11"/>
      <x:c r="C10" s="11"/>
      <x:c r="D10" s="11"/>
      <x:c r="E10" s="11"/>
      <x:c r="F10" s="11"/>
      <x:c r="I10" s="11" t="str">
        <x:v>Promedio de cumplimiento por ciclo PHVA</x:v>
      </x:c>
      <x:c r="J10" s="11"/>
      <x:c r="K10" s="11"/>
      <x:c r="L10" s="11"/>
      <x:c r="M10" s="11"/>
    </x:row>
    <x:row r="11">
      <x:c r="A11" s="116" t="str">
        <x:f>Resumen_Anual!A3</x:f>
        <x:v>Año</x:v>
      </x:c>
      <x:c r="B11" s="116" t="str">
        <x:f>Resumen_Anual!B3</x:f>
        <x:v>Mes de corte</x:v>
      </x:c>
      <x:c r="C11" s="116" t="str">
        <x:f>Resumen_Anual!D3</x:f>
        <x:v>Programadas a corte</x:v>
      </x:c>
      <x:c r="D11" s="116" t="str">
        <x:f>Resumen_Anual!E3</x:f>
        <x:v>Ejecutadas a corte</x:v>
      </x:c>
      <x:c r="E11" s="116" t="str">
        <x:f>Resumen_Anual!F3</x:f>
        <x:v>% cumplimiento global</x:v>
      </x:c>
      <x:c r="F11" s="116" t="str">
        <x:f>Resumen_Anual!L3</x:f>
        <x:v>Presupuesto estimado (COP)</x:v>
      </x:c>
      <x:c r="I11" s="116" t="str">
        <x:f>Resumen_Anual!A11</x:f>
        <x:v>Ciclo PHVA</x:v>
      </x:c>
      <x:c r="J11" s="116" t="str">
        <x:f>Resumen_Anual!B11</x:f>
        <x:v>2023</x:v>
      </x:c>
      <x:c r="K11" s="116" t="str">
        <x:f>Resumen_Anual!C11</x:f>
        <x:v>2024</x:v>
      </x:c>
      <x:c r="L11" s="116" t="str">
        <x:f>Resumen_Anual!D11</x:f>
        <x:v>2025</x:v>
      </x:c>
      <x:c r="M11" s="116" t="str">
        <x:f>Resumen_Anual!E11</x:f>
        <x:v>2026</x:v>
      </x:c>
    </x:row>
    <x:row r="12">
      <x:c r="A12" s="14" t="n">
        <x:f>Resumen_Anual!A4</x:f>
        <x:v>2023</x:v>
      </x:c>
      <x:c r="B12" s="14" t="n">
        <x:f>Resumen_Anual!B4</x:f>
        <x:v>12</x:v>
      </x:c>
      <x:c r="C12" s="14" t="n">
        <x:f>Resumen_Anual!D4</x:f>
        <x:v>162</x:v>
      </x:c>
      <x:c r="D12" s="14" t="n">
        <x:f>Resumen_Anual!E4</x:f>
        <x:v>155</x:v>
      </x:c>
      <x:c r="E12" s="69" t="n">
        <x:f>Resumen_Anual!F4</x:f>
        <x:v>0.9567901234567902</x:v>
      </x:c>
      <x:c r="F12" s="67" t="n">
        <x:f>Resumen_Anual!L4</x:f>
        <x:v>74600000</x:v>
      </x:c>
      <x:c r="I12" s="14" t="str">
        <x:f>Resumen_Anual!A12</x:f>
        <x:v>Planear</x:v>
      </x:c>
      <x:c r="J12" s="69" t="n">
        <x:f>Resumen_Anual!B12</x:f>
        <x:v>1</x:v>
      </x:c>
      <x:c r="K12" s="69" t="n">
        <x:f>Resumen_Anual!C12</x:f>
        <x:v>1</x:v>
      </x:c>
      <x:c r="L12" s="69" t="n">
        <x:f>Resumen_Anual!D12</x:f>
        <x:v>1</x:v>
      </x:c>
      <x:c r="M12" s="69" t="n">
        <x:f>Resumen_Anual!E12</x:f>
        <x:v>1</x:v>
      </x:c>
    </x:row>
    <x:row r="13">
      <x:c r="A13" s="14" t="n">
        <x:f>Resumen_Anual!A5</x:f>
        <x:v>2024</x:v>
      </x:c>
      <x:c r="B13" s="14" t="n">
        <x:f>Resumen_Anual!B5</x:f>
        <x:v>12</x:v>
      </x:c>
      <x:c r="C13" s="14" t="n">
        <x:f>Resumen_Anual!D5</x:f>
        <x:v>162</x:v>
      </x:c>
      <x:c r="D13" s="14" t="n">
        <x:f>Resumen_Anual!E5</x:f>
        <x:v>156</x:v>
      </x:c>
      <x:c r="E13" s="69" t="n">
        <x:f>Resumen_Anual!F5</x:f>
        <x:v>0.9629629629629629</x:v>
      </x:c>
      <x:c r="F13" s="67" t="n">
        <x:f>Resumen_Anual!L5</x:f>
        <x:v>81523000</x:v>
      </x:c>
      <x:c r="I13" s="14" t="str">
        <x:f>Resumen_Anual!A13</x:f>
        <x:v>Hacer</x:v>
      </x:c>
      <x:c r="J13" s="69" t="n">
        <x:f>Resumen_Anual!B13</x:f>
        <x:v>0.9642857142857143</x:v>
      </x:c>
      <x:c r="K13" s="69" t="n">
        <x:f>Resumen_Anual!C13</x:f>
        <x:v>0.9464285714285713</x:v>
      </x:c>
      <x:c r="L13" s="69" t="n">
        <x:f>Resumen_Anual!D13</x:f>
        <x:v>0.994047619047619</x:v>
      </x:c>
      <x:c r="M13" s="69" t="n">
        <x:f>Resumen_Anual!E13</x:f>
        <x:v>0.9714285714285715</x:v>
      </x:c>
    </x:row>
    <x:row r="14">
      <x:c r="A14" s="14" t="n">
        <x:f>Resumen_Anual!A6</x:f>
        <x:v>2025</x:v>
      </x:c>
      <x:c r="B14" s="14" t="n">
        <x:f>Resumen_Anual!B6</x:f>
        <x:v>12</x:v>
      </x:c>
      <x:c r="C14" s="14" t="n">
        <x:f>Resumen_Anual!D6</x:f>
        <x:v>162</x:v>
      </x:c>
      <x:c r="D14" s="14" t="n">
        <x:f>Resumen_Anual!E6</x:f>
        <x:v>159</x:v>
      </x:c>
      <x:c r="E14" s="69" t="n">
        <x:f>Resumen_Anual!F6</x:f>
        <x:v>0.9814814814814815</x:v>
      </x:c>
      <x:c r="F14" s="67" t="n">
        <x:f>Resumen_Anual!L6</x:f>
        <x:v>85762200</x:v>
      </x:c>
      <x:c r="I14" s="14" t="str">
        <x:f>Resumen_Anual!A14</x:f>
        <x:v>Verificar</x:v>
      </x:c>
      <x:c r="J14" s="69" t="n">
        <x:f>Resumen_Anual!B14</x:f>
        <x:v>1</x:v>
      </x:c>
      <x:c r="K14" s="69" t="n">
        <x:f>Resumen_Anual!C14</x:f>
        <x:v>0.9833333333333332</x:v>
      </x:c>
      <x:c r="L14" s="69" t="n">
        <x:f>Resumen_Anual!D14</x:f>
        <x:v>0.9666666666666666</x:v>
      </x:c>
      <x:c r="M14" s="69" t="n">
        <x:f>Resumen_Anual!E14</x:f>
        <x:v>0.5599999999999999</x:v>
      </x:c>
    </x:row>
    <x:row r="15">
      <x:c r="A15" s="14" t="n">
        <x:f>Resumen_Anual!A7</x:f>
        <x:v>2026</x:v>
      </x:c>
      <x:c r="B15" s="14" t="n">
        <x:f>Resumen_Anual!B7</x:f>
        <x:v>5</x:v>
      </x:c>
      <x:c r="C15" s="14" t="n">
        <x:f>Resumen_Anual!D7</x:f>
        <x:v>70</x:v>
      </x:c>
      <x:c r="D15" s="14" t="n">
        <x:f>Resumen_Anual!E7</x:f>
        <x:v>66</x:v>
      </x:c>
      <x:c r="E15" s="69" t="n">
        <x:f>Resumen_Anual!F7</x:f>
        <x:v>0.9428571428571428</x:v>
      </x:c>
      <x:c r="F15" s="67" t="n">
        <x:f>Resumen_Anual!L7</x:f>
        <x:v>90136100</x:v>
      </x:c>
      <x:c r="I15" s="14" t="str">
        <x:f>Resumen_Anual!A15</x:f>
        <x:v>Actuar</x:v>
      </x:c>
      <x:c r="J15" s="69" t="n">
        <x:f>Resumen_Anual!B15</x:f>
        <x:v>0.9722222222222222</x:v>
      </x:c>
      <x:c r="K15" s="69" t="n">
        <x:f>Resumen_Anual!C15</x:f>
        <x:v>0.9722222222222222</x:v>
      </x:c>
      <x:c r="L15" s="69" t="n">
        <x:f>Resumen_Anual!D15</x:f>
        <x:v>1</x:v>
      </x:c>
      <x:c r="M15" s="69" t="n">
        <x:f>Resumen_Anual!E15</x:f>
        <x:v>0.26666666666666666</x:v>
      </x:c>
    </x:row>
    <x:row r="18">
      <x:c r="A18" s="24" t="str">
        <x:v>Seguimiento mensual 2026</x:v>
      </x:c>
      <x:c r="B18" s="24"/>
      <x:c r="C18" s="24"/>
      <x:c r="D18" s="24"/>
      <x:c r="E18" s="24"/>
      <x:c r="F18" s="24"/>
      <x:c r="G18" s="24"/>
      <x:c r="I18" s="116" t="str">
        <x:v>Año</x:v>
      </x:c>
      <x:c r="J18" s="116" t="str">
        <x:v>% cumplimiento</x:v>
      </x:c>
      <x:c r="K18" s="116" t="str">
        <x:v>Programadas</x:v>
      </x:c>
      <x:c r="L18" s="116" t="str">
        <x:v>Ejecutadas</x:v>
      </x:c>
    </x:row>
    <x:row r="19">
      <x:c r="A19" s="104" t="str">
        <x:v>Mes</x:v>
      </x:c>
      <x:c r="B19" s="104" t="str">
        <x:v>Programadas</x:v>
      </x:c>
      <x:c r="C19" s="104" t="str">
        <x:v>Ejecutadas</x:v>
      </x:c>
      <x:c r="D19" s="104" t="str">
        <x:v>Reprogramadas</x:v>
      </x:c>
      <x:c r="E19" s="104" t="str">
        <x:v>Canceladas</x:v>
      </x:c>
      <x:c r="F19" s="104" t="str">
        <x:v>% cumplimiento</x:v>
      </x:c>
      <x:c r="G19" s="104" t="str">
        <x:v>Observación</x:v>
      </x:c>
      <x:c r="I19" s="14" t="n">
        <x:v>2023</x:v>
      </x:c>
      <x:c r="J19" s="69" t="n">
        <x:f>Resumen_Anual!F4</x:f>
        <x:v>0.9567901234567902</x:v>
      </x:c>
      <x:c r="K19" s="14" t="n">
        <x:f>Resumen_Anual!D4</x:f>
        <x:v>162</x:v>
      </x:c>
      <x:c r="L19" s="14" t="n">
        <x:f>Resumen_Anual!E4</x:f>
        <x:v>155</x:v>
      </x:c>
    </x:row>
    <x:row r="20">
      <x:c r="A20" s="14" t="str">
        <x:f>Resumen_Mensual!C40</x:f>
        <x:v>Ene</x:v>
      </x:c>
      <x:c r="B20" s="14" t="n">
        <x:f>Resumen_Mensual!D40</x:f>
        <x:v>32</x:v>
      </x:c>
      <x:c r="C20" s="14" t="n">
        <x:f>Resumen_Mensual!E40</x:f>
        <x:v>14</x:v>
      </x:c>
      <x:c r="D20" s="14" t="n">
        <x:f>Resumen_Mensual!F40</x:f>
        <x:v>1</x:v>
      </x:c>
      <x:c r="E20" s="14" t="n">
        <x:f>Resumen_Mensual!G40</x:f>
        <x:v>1</x:v>
      </x:c>
      <x:c r="F20" s="69" t="n">
        <x:f>Resumen_Mensual!H40</x:f>
        <x:v>0.4375</x:v>
      </x:c>
      <x:c r="G20" s="14" t="str">
        <x:f>IF(F20=1,"En meta",IF(F20&gt;=0.8,"Seguimiento","Requiere gestión"))</x:f>
        <x:v>Requiere gestión</x:v>
      </x:c>
      <x:c r="I20" s="14" t="n">
        <x:v>2024</x:v>
      </x:c>
      <x:c r="J20" s="69" t="n">
        <x:f>Resumen_Anual!F5</x:f>
        <x:v>0.9629629629629629</x:v>
      </x:c>
      <x:c r="K20" s="14" t="n">
        <x:f>Resumen_Anual!D5</x:f>
        <x:v>162</x:v>
      </x:c>
      <x:c r="L20" s="14" t="n">
        <x:f>Resumen_Anual!E5</x:f>
        <x:v>156</x:v>
      </x:c>
    </x:row>
    <x:row r="21">
      <x:c r="A21" s="14" t="str">
        <x:f>Resumen_Mensual!C41</x:f>
        <x:v>Feb</x:v>
      </x:c>
      <x:c r="B21" s="14" t="n">
        <x:f>Resumen_Mensual!D41</x:f>
        <x:v>32</x:v>
      </x:c>
      <x:c r="C21" s="14" t="n">
        <x:f>Resumen_Mensual!E41</x:f>
        <x:v>15</x:v>
      </x:c>
      <x:c r="D21" s="14" t="n">
        <x:f>Resumen_Mensual!F41</x:f>
        <x:v>0</x:v>
      </x:c>
      <x:c r="E21" s="14" t="n">
        <x:f>Resumen_Mensual!G41</x:f>
        <x:v>0</x:v>
      </x:c>
      <x:c r="F21" s="69" t="n">
        <x:f>Resumen_Mensual!H41</x:f>
        <x:v>0.46875</x:v>
      </x:c>
      <x:c r="G21" s="14" t="str">
        <x:f>IF(F21=1,"En meta",IF(F21&gt;=0.8,"Seguimiento","Requiere gestión"))</x:f>
        <x:v>Requiere gestión</x:v>
      </x:c>
      <x:c r="I21" s="14" t="n">
        <x:v>2025</x:v>
      </x:c>
      <x:c r="J21" s="69" t="n">
        <x:f>Resumen_Anual!F6</x:f>
        <x:v>0.9814814814814815</x:v>
      </x:c>
      <x:c r="K21" s="14" t="n">
        <x:f>Resumen_Anual!D6</x:f>
        <x:v>162</x:v>
      </x:c>
      <x:c r="L21" s="14" t="n">
        <x:f>Resumen_Anual!E6</x:f>
        <x:v>159</x:v>
      </x:c>
    </x:row>
    <x:row r="22">
      <x:c r="A22" s="14" t="str">
        <x:f>Resumen_Mensual!C42</x:f>
        <x:v>Mar</x:v>
      </x:c>
      <x:c r="B22" s="14" t="n">
        <x:f>Resumen_Mensual!D42</x:f>
        <x:v>32</x:v>
      </x:c>
      <x:c r="C22" s="14" t="n">
        <x:f>Resumen_Mensual!E42</x:f>
        <x:v>14</x:v>
      </x:c>
      <x:c r="D22" s="14" t="n">
        <x:f>Resumen_Mensual!F42</x:f>
        <x:v>0</x:v>
      </x:c>
      <x:c r="E22" s="14" t="n">
        <x:f>Resumen_Mensual!G42</x:f>
        <x:v>0</x:v>
      </x:c>
      <x:c r="F22" s="69" t="n">
        <x:f>Resumen_Mensual!H42</x:f>
        <x:v>0.4375</x:v>
      </x:c>
      <x:c r="G22" s="14" t="str">
        <x:f>IF(F22=1,"En meta",IF(F22&gt;=0.8,"Seguimiento","Requiere gestión"))</x:f>
        <x:v>Requiere gestión</x:v>
      </x:c>
      <x:c r="I22" s="14" t="n">
        <x:v>2026</x:v>
      </x:c>
      <x:c r="J22" s="69" t="n">
        <x:f>Resumen_Anual!F7</x:f>
        <x:v>0.9428571428571428</x:v>
      </x:c>
      <x:c r="K22" s="14" t="n">
        <x:f>Resumen_Anual!D7</x:f>
        <x:v>70</x:v>
      </x:c>
      <x:c r="L22" s="14" t="n">
        <x:f>Resumen_Anual!E7</x:f>
        <x:v>66</x:v>
      </x:c>
    </x:row>
    <x:row r="23">
      <x:c r="A23" s="14" t="str">
        <x:f>Resumen_Mensual!C43</x:f>
        <x:v>Abr</x:v>
      </x:c>
      <x:c r="B23" s="14" t="n">
        <x:f>Resumen_Mensual!D43</x:f>
        <x:v>32</x:v>
      </x:c>
      <x:c r="C23" s="14" t="n">
        <x:f>Resumen_Mensual!E43</x:f>
        <x:v>12</x:v>
      </x:c>
      <x:c r="D23" s="14" t="n">
        <x:f>Resumen_Mensual!F43</x:f>
        <x:v>0</x:v>
      </x:c>
      <x:c r="E23" s="14" t="n">
        <x:f>Resumen_Mensual!G43</x:f>
        <x:v>0</x:v>
      </x:c>
      <x:c r="F23" s="69" t="n">
        <x:f>Resumen_Mensual!H43</x:f>
        <x:v>0.375</x:v>
      </x:c>
      <x:c r="G23" s="14" t="str">
        <x:f>IF(F23=1,"En meta",IF(F23&gt;=0.8,"Seguimiento","Requiere gestión"))</x:f>
        <x:v>Requiere gestión</x:v>
      </x:c>
      <x:c r="I23" t="str">
        <x:v>Nota</x:v>
      </x:c>
      <x:c r="J23" t="str">
        <x:v>% sobre corte del año</x:v>
      </x:c>
      <x:c r="K23" t="str"/>
      <x:c r="L23" t="str"/>
    </x:row>
    <x:row r="24">
      <x:c r="A24" s="14" t="str">
        <x:f>Resumen_Mensual!C44</x:f>
        <x:v>May</x:v>
      </x:c>
      <x:c r="B24" s="14" t="n">
        <x:f>Resumen_Mensual!D44</x:f>
        <x:v>32</x:v>
      </x:c>
      <x:c r="C24" s="14" t="n">
        <x:f>Resumen_Mensual!E44</x:f>
        <x:v>11</x:v>
      </x:c>
      <x:c r="D24" s="14" t="n">
        <x:f>Resumen_Mensual!F44</x:f>
        <x:v>2</x:v>
      </x:c>
      <x:c r="E24" s="14" t="n">
        <x:f>Resumen_Mensual!G44</x:f>
        <x:v>0</x:v>
      </x:c>
      <x:c r="F24" s="69" t="n">
        <x:f>Resumen_Mensual!H44</x:f>
        <x:v>0.34375</x:v>
      </x:c>
      <x:c r="G24" s="14" t="str">
        <x:f>IF(F24=1,"En meta",IF(F24&gt;=0.8,"Seguimiento","Requiere gestión"))</x:f>
        <x:v>Requiere gestión</x:v>
      </x:c>
    </x:row>
    <x:row r="25">
      <x:c r="A25" s="14" t="str">
        <x:f>Resumen_Mensual!C45</x:f>
        <x:v>Jun</x:v>
      </x:c>
      <x:c r="B25" s="14" t="n">
        <x:f>Resumen_Mensual!D45</x:f>
        <x:v>32</x:v>
      </x:c>
      <x:c r="C25" s="14" t="n">
        <x:f>Resumen_Mensual!E45</x:f>
        <x:v>0</x:v>
      </x:c>
      <x:c r="D25" s="14" t="n">
        <x:f>Resumen_Mensual!F45</x:f>
        <x:v>0</x:v>
      </x:c>
      <x:c r="E25" s="14" t="n">
        <x:f>Resumen_Mensual!G45</x:f>
        <x:v>0</x:v>
      </x:c>
      <x:c r="F25" s="69" t="n">
        <x:f>Resumen_Mensual!H45</x:f>
        <x:v>0</x:v>
      </x:c>
      <x:c r="G25" s="14" t="str">
        <x:f>IF(F25=1,"En meta",IF(F25&gt;=0.8,"Seguimiento","Requiere gestión"))</x:f>
        <x:v>Requiere gestión</x:v>
      </x:c>
      <x:c r="I25" s="116" t="str">
        <x:v>Mes</x:v>
      </x:c>
      <x:c r="J25" s="116" t="str">
        <x:v>Programadas</x:v>
      </x:c>
      <x:c r="K25" s="116" t="str">
        <x:v>Ejecutadas</x:v>
      </x:c>
      <x:c r="L25" s="116" t="str">
        <x:v>% cumplimiento</x:v>
      </x:c>
    </x:row>
    <x:row r="26">
      <x:c r="A26" s="14" t="str">
        <x:f>Resumen_Mensual!C46</x:f>
        <x:v>Jul</x:v>
      </x:c>
      <x:c r="B26" s="14" t="n">
        <x:f>Resumen_Mensual!D46</x:f>
        <x:v>32</x:v>
      </x:c>
      <x:c r="C26" s="14" t="n">
        <x:f>Resumen_Mensual!E46</x:f>
        <x:v>0</x:v>
      </x:c>
      <x:c r="D26" s="14" t="n">
        <x:f>Resumen_Mensual!F46</x:f>
        <x:v>0</x:v>
      </x:c>
      <x:c r="E26" s="14" t="n">
        <x:f>Resumen_Mensual!G46</x:f>
        <x:v>0</x:v>
      </x:c>
      <x:c r="F26" s="69" t="n">
        <x:f>Resumen_Mensual!H46</x:f>
        <x:v>0</x:v>
      </x:c>
      <x:c r="G26" s="14" t="str">
        <x:f>IF(F26=1,"En meta",IF(F26&gt;=0.8,"Seguimiento","Requiere gestión"))</x:f>
        <x:v>Requiere gestión</x:v>
      </x:c>
      <x:c r="I26" s="14" t="str">
        <x:v>Ene</x:v>
      </x:c>
      <x:c r="J26" s="14" t="n">
        <x:f>Resumen_Mensual!D40</x:f>
        <x:v>32</x:v>
      </x:c>
      <x:c r="K26" s="14" t="n">
        <x:f>Resumen_Mensual!E40</x:f>
        <x:v>14</x:v>
      </x:c>
      <x:c r="L26" s="69" t="n">
        <x:f>Resumen_Mensual!H40</x:f>
        <x:v>0.4375</x:v>
      </x:c>
    </x:row>
    <x:row r="27">
      <x:c r="A27" s="14" t="str">
        <x:f>Resumen_Mensual!C47</x:f>
        <x:v>Ago</x:v>
      </x:c>
      <x:c r="B27" s="14" t="n">
        <x:f>Resumen_Mensual!D47</x:f>
        <x:v>32</x:v>
      </x:c>
      <x:c r="C27" s="14" t="n">
        <x:f>Resumen_Mensual!E47</x:f>
        <x:v>0</x:v>
      </x:c>
      <x:c r="D27" s="14" t="n">
        <x:f>Resumen_Mensual!F47</x:f>
        <x:v>0</x:v>
      </x:c>
      <x:c r="E27" s="14" t="n">
        <x:f>Resumen_Mensual!G47</x:f>
        <x:v>0</x:v>
      </x:c>
      <x:c r="F27" s="69" t="n">
        <x:f>Resumen_Mensual!H47</x:f>
        <x:v>0</x:v>
      </x:c>
      <x:c r="G27" s="14" t="str">
        <x:f>IF(F27=1,"En meta",IF(F27&gt;=0.8,"Seguimiento","Requiere gestión"))</x:f>
        <x:v>Requiere gestión</x:v>
      </x:c>
      <x:c r="I27" s="14" t="str">
        <x:v>Feb</x:v>
      </x:c>
      <x:c r="J27" s="14" t="n">
        <x:f>Resumen_Mensual!D41</x:f>
        <x:v>32</x:v>
      </x:c>
      <x:c r="K27" s="14" t="n">
        <x:f>Resumen_Mensual!E41</x:f>
        <x:v>15</x:v>
      </x:c>
      <x:c r="L27" s="69" t="n">
        <x:f>Resumen_Mensual!H41</x:f>
        <x:v>0.46875</x:v>
      </x:c>
    </x:row>
    <x:row r="28">
      <x:c r="A28" s="14" t="str">
        <x:f>Resumen_Mensual!C48</x:f>
        <x:v>Sep</x:v>
      </x:c>
      <x:c r="B28" s="14" t="n">
        <x:f>Resumen_Mensual!D48</x:f>
        <x:v>32</x:v>
      </x:c>
      <x:c r="C28" s="14" t="n">
        <x:f>Resumen_Mensual!E48</x:f>
        <x:v>0</x:v>
      </x:c>
      <x:c r="D28" s="14" t="n">
        <x:f>Resumen_Mensual!F48</x:f>
        <x:v>0</x:v>
      </x:c>
      <x:c r="E28" s="14" t="n">
        <x:f>Resumen_Mensual!G48</x:f>
        <x:v>0</x:v>
      </x:c>
      <x:c r="F28" s="69" t="n">
        <x:f>Resumen_Mensual!H48</x:f>
        <x:v>0</x:v>
      </x:c>
      <x:c r="G28" s="14" t="str">
        <x:f>IF(F28=1,"En meta",IF(F28&gt;=0.8,"Seguimiento","Requiere gestión"))</x:f>
        <x:v>Requiere gestión</x:v>
      </x:c>
      <x:c r="I28" s="14" t="str">
        <x:v>Mar</x:v>
      </x:c>
      <x:c r="J28" s="14" t="n">
        <x:f>Resumen_Mensual!D42</x:f>
        <x:v>32</x:v>
      </x:c>
      <x:c r="K28" s="14" t="n">
        <x:f>Resumen_Mensual!E42</x:f>
        <x:v>14</x:v>
      </x:c>
      <x:c r="L28" s="69" t="n">
        <x:f>Resumen_Mensual!H42</x:f>
        <x:v>0.4375</x:v>
      </x:c>
    </x:row>
    <x:row r="29">
      <x:c r="A29" s="14" t="str">
        <x:f>Resumen_Mensual!C49</x:f>
        <x:v>Oct</x:v>
      </x:c>
      <x:c r="B29" s="14" t="n">
        <x:f>Resumen_Mensual!D49</x:f>
        <x:v>32</x:v>
      </x:c>
      <x:c r="C29" s="14" t="n">
        <x:f>Resumen_Mensual!E49</x:f>
        <x:v>0</x:v>
      </x:c>
      <x:c r="D29" s="14" t="n">
        <x:f>Resumen_Mensual!F49</x:f>
        <x:v>0</x:v>
      </x:c>
      <x:c r="E29" s="14" t="n">
        <x:f>Resumen_Mensual!G49</x:f>
        <x:v>0</x:v>
      </x:c>
      <x:c r="F29" s="69" t="n">
        <x:f>Resumen_Mensual!H49</x:f>
        <x:v>0</x:v>
      </x:c>
      <x:c r="G29" s="14" t="str">
        <x:f>IF(F29=1,"En meta",IF(F29&gt;=0.8,"Seguimiento","Requiere gestión"))</x:f>
        <x:v>Requiere gestión</x:v>
      </x:c>
      <x:c r="I29" s="14" t="str">
        <x:v>Abr</x:v>
      </x:c>
      <x:c r="J29" s="14" t="n">
        <x:f>Resumen_Mensual!D43</x:f>
        <x:v>32</x:v>
      </x:c>
      <x:c r="K29" s="14" t="n">
        <x:f>Resumen_Mensual!E43</x:f>
        <x:v>12</x:v>
      </x:c>
      <x:c r="L29" s="69" t="n">
        <x:f>Resumen_Mensual!H43</x:f>
        <x:v>0.375</x:v>
      </x:c>
    </x:row>
    <x:row r="30">
      <x:c r="A30" s="14" t="str">
        <x:f>Resumen_Mensual!C50</x:f>
        <x:v>Nov</x:v>
      </x:c>
      <x:c r="B30" s="14" t="n">
        <x:f>Resumen_Mensual!D50</x:f>
        <x:v>32</x:v>
      </x:c>
      <x:c r="C30" s="14" t="n">
        <x:f>Resumen_Mensual!E50</x:f>
        <x:v>0</x:v>
      </x:c>
      <x:c r="D30" s="14" t="n">
        <x:f>Resumen_Mensual!F50</x:f>
        <x:v>0</x:v>
      </x:c>
      <x:c r="E30" s="14" t="n">
        <x:f>Resumen_Mensual!G50</x:f>
        <x:v>0</x:v>
      </x:c>
      <x:c r="F30" s="69" t="n">
        <x:f>Resumen_Mensual!H50</x:f>
        <x:v>0</x:v>
      </x:c>
      <x:c r="G30" s="14" t="str">
        <x:f>IF(F30=1,"En meta",IF(F30&gt;=0.8,"Seguimiento","Requiere gestión"))</x:f>
        <x:v>Requiere gestión</x:v>
      </x:c>
      <x:c r="I30" s="14" t="str">
        <x:v>May</x:v>
      </x:c>
      <x:c r="J30" s="14" t="n">
        <x:f>Resumen_Mensual!D44</x:f>
        <x:v>32</x:v>
      </x:c>
      <x:c r="K30" s="14" t="n">
        <x:f>Resumen_Mensual!E44</x:f>
        <x:v>11</x:v>
      </x:c>
      <x:c r="L30" s="69" t="n">
        <x:f>Resumen_Mensual!H44</x:f>
        <x:v>0.34375</x:v>
      </x:c>
    </x:row>
    <x:row r="31">
      <x:c r="A31" s="14" t="str">
        <x:f>Resumen_Mensual!C51</x:f>
        <x:v>Dic</x:v>
      </x:c>
      <x:c r="B31" s="14" t="n">
        <x:f>Resumen_Mensual!D51</x:f>
        <x:v>32</x:v>
      </x:c>
      <x:c r="C31" s="14" t="n">
        <x:f>Resumen_Mensual!E51</x:f>
        <x:v>0</x:v>
      </x:c>
      <x:c r="D31" s="14" t="n">
        <x:f>Resumen_Mensual!F51</x:f>
        <x:v>0</x:v>
      </x:c>
      <x:c r="E31" s="14" t="n">
        <x:f>Resumen_Mensual!G51</x:f>
        <x:v>0</x:v>
      </x:c>
      <x:c r="F31" s="69" t="n">
        <x:f>Resumen_Mensual!H51</x:f>
        <x:v>0</x:v>
      </x:c>
      <x:c r="G31" s="14" t="str">
        <x:f>IF(F31=1,"En meta",IF(F31&gt;=0.8,"Seguimiento","Requiere gestión"))</x:f>
        <x:v>Requiere gestión</x:v>
      </x:c>
      <x:c r="I31" s="14" t="str">
        <x:v>Jun</x:v>
      </x:c>
      <x:c r="J31" s="14" t="n">
        <x:f>Resumen_Mensual!D45</x:f>
        <x:v>32</x:v>
      </x:c>
      <x:c r="K31" s="14" t="n">
        <x:f>Resumen_Mensual!E45</x:f>
        <x:v>0</x:v>
      </x:c>
      <x:c r="L31" s="69" t="n">
        <x:f>Resumen_Mensual!H45</x:f>
        <x:v>0</x:v>
      </x:c>
    </x:row>
    <x:row r="32">
      <x:c r="I32" s="14" t="str">
        <x:v>Jul</x:v>
      </x:c>
      <x:c r="J32" s="14" t="n">
        <x:f>Resumen_Mensual!D46</x:f>
        <x:v>32</x:v>
      </x:c>
      <x:c r="K32" s="14" t="n">
        <x:f>Resumen_Mensual!E46</x:f>
        <x:v>0</x:v>
      </x:c>
      <x:c r="L32" s="69" t="n">
        <x:f>Resumen_Mensual!H46</x:f>
        <x:v>0</x:v>
      </x:c>
    </x:row>
    <x:row r="33">
      <x:c r="I33" s="14" t="str">
        <x:v>Ago</x:v>
      </x:c>
      <x:c r="J33" s="14" t="n">
        <x:f>Resumen_Mensual!D47</x:f>
        <x:v>32</x:v>
      </x:c>
      <x:c r="K33" s="14" t="n">
        <x:f>Resumen_Mensual!E47</x:f>
        <x:v>0</x:v>
      </x:c>
      <x:c r="L33" s="69" t="n">
        <x:f>Resumen_Mensual!H47</x:f>
        <x:v>0</x:v>
      </x:c>
    </x:row>
    <x:row r="34">
      <x:c r="I34" s="14" t="str">
        <x:v>Sep</x:v>
      </x:c>
      <x:c r="J34" s="14" t="n">
        <x:f>Resumen_Mensual!D48</x:f>
        <x:v>32</x:v>
      </x:c>
      <x:c r="K34" s="14" t="n">
        <x:f>Resumen_Mensual!E48</x:f>
        <x:v>0</x:v>
      </x:c>
      <x:c r="L34" s="69" t="n">
        <x:f>Resumen_Mensual!H48</x:f>
        <x:v>0</x:v>
      </x:c>
    </x:row>
    <x:row r="35">
      <x:c r="I35" s="14" t="str">
        <x:v>Oct</x:v>
      </x:c>
      <x:c r="J35" s="14" t="n">
        <x:f>Resumen_Mensual!D49</x:f>
        <x:v>32</x:v>
      </x:c>
      <x:c r="K35" s="14" t="n">
        <x:f>Resumen_Mensual!E49</x:f>
        <x:v>0</x:v>
      </x:c>
      <x:c r="L35" s="69" t="n">
        <x:f>Resumen_Mensual!H49</x:f>
        <x:v>0</x:v>
      </x:c>
    </x:row>
    <x:row r="36">
      <x:c r="I36" s="14" t="str">
        <x:v>Nov</x:v>
      </x:c>
      <x:c r="J36" s="14" t="n">
        <x:f>Resumen_Mensual!D50</x:f>
        <x:v>32</x:v>
      </x:c>
      <x:c r="K36" s="14" t="n">
        <x:f>Resumen_Mensual!E50</x:f>
        <x:v>0</x:v>
      </x:c>
      <x:c r="L36" s="69" t="n">
        <x:f>Resumen_Mensual!H50</x:f>
        <x:v>0</x:v>
      </x:c>
    </x:row>
    <x:row r="37">
      <x:c r="I37" s="14" t="str">
        <x:v>Dic</x:v>
      </x:c>
      <x:c r="J37" s="14" t="n">
        <x:f>Resumen_Mensual!D51</x:f>
        <x:v>32</x:v>
      </x:c>
      <x:c r="K37" s="14" t="n">
        <x:f>Resumen_Mensual!E51</x:f>
        <x:v>0</x:v>
      </x:c>
      <x:c r="L37" s="69" t="n">
        <x:f>Resumen_Mensual!H51</x:f>
        <x:v>0</x:v>
      </x:c>
    </x:row>
  </x:sheetData>
  <x:mergeCells>
    <x:mergeCell ref="A1:N1"/>
    <x:mergeCell ref="A2:N2"/>
    <x:mergeCell ref="A4:F4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L5"/>
    <x:mergeCell ref="K6:L7"/>
    <x:mergeCell ref="A10:F10"/>
    <x:mergeCell ref="A18:G18"/>
    <x:mergeCell ref="I10:M10"/>
  </x:mergeCells>
  <x:conditionalFormatting sqref="F20:F31">
    <x:cfRule type="colorScale" priority="1">
      <x:colorScale>
        <x:cfvo type="min"/>
        <x:cfvo type="percentile" val="50"/>
        <x:cfvo type="max"/>
        <x:color rgb="FDE2E1"/>
        <x:color rgb="FFF4CC"/>
        <x:color rgb="D9EAD3"/>
      </x:colorScale>
    </x:cfRule>
  </x:conditionalFormatting>
  <x:conditionalFormatting sqref="G20:G31">
    <x:cfRule type="expression" dxfId="32" priority="2">
      <x:formula>G20="En meta"</x:formula>
    </x:cfRule>
    <x:cfRule type="expression" dxfId="33" priority="3">
      <x:formula>G20="Seguimiento"</x:formula>
    </x:cfRule>
    <x:cfRule type="expression" dxfId="34" priority="4">
      <x:formula>G20="Requiere gestión"</x:formula>
    </x:cfRule>
  </x:conditionalFormatting>
  <x:pageMargins left="0.7" right="0.7" top="0.75" bottom="0.75" header="0.3" footer="0.3"/>
  <x:drawing xmlns:r="http://schemas.openxmlformats.org/officeDocument/2006/relationships" r:id="R637327ebefbf45af"/>
</x:worksheet>
</file>