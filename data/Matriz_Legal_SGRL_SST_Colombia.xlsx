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bfe1579cc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" sheetId="1" r:id="Ra1a2a10ec7d348e6"/>
    <x:sheet xmlns:r="http://schemas.openxmlformats.org/officeDocument/2006/relationships" name="Catalogos" sheetId="2" r:id="R79bdeb79fcba4bac"/>
    <x:sheet xmlns:r="http://schemas.openxmlformats.org/officeDocument/2006/relationships" name="Matriz_Legal_SGRL" sheetId="3" r:id="R2c85d02ec8364715"/>
    <x:sheet xmlns:r="http://schemas.openxmlformats.org/officeDocument/2006/relationships" name="Resumen" sheetId="4" r:id="R7ee85c55abc64b4f"/>
    <x:sheet xmlns:r="http://schemas.openxmlformats.org/officeDocument/2006/relationships" name="Dashboard" sheetId="5" r:id="Rb1ca0f49c958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4"/>
      <x:color rgb="FFFFFF"/>
      <x:name val="Carlito"/>
    </x:font>
    <x:font>
      <x:i/>
      <x:sz val="10"/>
      <x:color rgb="7F6000"/>
      <x:name val="Carlito"/>
    </x:font>
    <x:font>
      <x:b/>
      <x:sz val="10"/>
      <x:color rgb="FFFFFF"/>
      <x:name val="Carlito"/>
    </x:font>
    <x:font>
      <x:b/>
      <x:sz val="11"/>
      <x:color rgb="1F1F1F"/>
      <x:name val="Carlito"/>
    </x:font>
    <x:font>
      <x:b/>
      <x:sz val="10"/>
      <x:color rgb="1F1F1F"/>
      <x:name val="Carlito"/>
    </x:font>
    <x:font>
      <x:b/>
      <x:sz val="14"/>
      <x:color rgb="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D9EAF7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7">
    <x:dxf>
      <x:fill>
        <x:patternFill patternType="solid">
          <x:bgColor rgb="E2F0D9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  <x:dxf>
      <x:fill>
        <x:patternFill patternType="solid">
          <x:bgColor rgb="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100dcebec4610" /><Relationship Type="http://schemas.openxmlformats.org/officeDocument/2006/relationships/theme" Target="/xl/theme/theme1.xml" Id="Rbb9e2851bdd54317" /><Relationship Type="http://schemas.openxmlformats.org/officeDocument/2006/relationships/sharedStrings" Target="/xl/sharedStrings.xml" Id="R0d32023f7e024878" /><Relationship Type="http://schemas.openxmlformats.org/officeDocument/2006/relationships/worksheet" Target="/xl/worksheets/sheet1.xml" Id="Ra1a2a10ec7d348e6" /><Relationship Type="http://schemas.openxmlformats.org/officeDocument/2006/relationships/worksheet" Target="/xl/worksheets/sheet2.xml" Id="R79bdeb79fcba4bac" /><Relationship Type="http://schemas.openxmlformats.org/officeDocument/2006/relationships/worksheet" Target="/xl/worksheets/sheet3.xml" Id="R2c85d02ec8364715" /><Relationship Type="http://schemas.openxmlformats.org/officeDocument/2006/relationships/worksheet" Target="/xl/worksheets/sheet4.xml" Id="R7ee85c55abc64b4f" /><Relationship Type="http://schemas.openxmlformats.org/officeDocument/2006/relationships/worksheet" Target="/xl/worksheets/sheet5.xml" Id="Rb1ca0f49c95842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f9d064c70774de6" /><Relationship Type="http://schemas.openxmlformats.org/officeDocument/2006/relationships/chart" Target="/xl/drawings/charts/chart2.xml" Id="R3cc55f581ca0436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Normas por estado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Conteo</c:v>
          </c:tx>
          <c:cat>
            <c:strRef>
              <c:f>'Resumen'!$G$4:$G$7</c:f>
              <c:strCache>
                <c:ptCount val="0"/>
              </c:strCache>
            </c:strRef>
          </c:cat>
          <c:val>
            <c:numRef>
              <c:f>'Resumen'!$H$4:$H$7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Normas por tipo documental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Conteo</c:v>
          </c:tx>
          <c:cat>
            <c:strRef>
              <c:f>'Resumen'!$D$4:$D$10</c:f>
              <c:strCache>
                <c:ptCount val="0"/>
              </c:strCache>
            </c:strRef>
          </c:cat>
          <c:val>
            <c:numRef>
              <c:f>'Resumen'!$E$4:$E$10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9d064c70774de6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c55f581ca043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trizLegalSGRL" displayName="MatrizLegalSGRL" ref="A4:Q60" headerRowCount="1">
  <x:tableColumns count="17">
    <x:tableColumn id="1" name="Ítem"/>
    <x:tableColumn id="2" name="Tipo documento"/>
    <x:tableColumn id="3" name="Número"/>
    <x:tableColumn id="4" name="Año"/>
    <x:tableColumn id="5" name="Entidad emisora"/>
    <x:tableColumn id="6" name="Tema / eje"/>
    <x:tableColumn id="7" name="Subtema"/>
    <x:tableColumn id="8" name="Título / objeto resumido"/>
    <x:tableColumn id="9" name="Estado normativo"/>
    <x:tableColumn id="10" name="¿Aplica a la empresa?"/>
    <x:tableColumn id="11" name="Cumple"/>
    <x:tableColumn id="12" name="Modo de cumplimiento / requisito verificable"/>
    <x:tableColumn id="13" name="Evidencia sugerida"/>
    <x:tableColumn id="14" name="Responsable interno"/>
    <x:tableColumn id="15" name="Fecha última verificación"/>
    <x:tableColumn id="16" name="Fuente oficial"/>
    <x:tableColumn id="17" name="Observaciones / vig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c6c658b87454d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6efd54da026475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4" max="4" width="12" hidden="0" customWidth="1"/>
    <x:col min="5" max="5" width="68" hidden="0" customWidth="1"/>
    <x:col min="3" max="3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6.799999237060547" hidden="0" customHeight="1">
      <x:c r="A1" s="5" t="str">
        <x:v>Matriz Legal — SGRL / SST Colombia</x:v>
      </x:c>
    </x:row>
    <x:row r="2"/>
    <x:row r="3" ht="84" hidden="0" customHeight="1">
      <x:c r="A3" s="12" t="str">
        <x:v>Formato maestro para identificar, verificar y mantener actualizada la normatividad aplicable de Seguridad y Salud en el Trabajo (SST) y del Sistema General de Riesgos Laborales (SGRL).</x:v>
      </x:c>
    </x:row>
    <x:row r="4"/>
    <x:row r="5" ht="156" hidden="0" customHeight="1">
      <x:c r="A5" s="12" t="str">
        <x:v>Importante: este archivo incluye un compendio amplio de normas generales y transversales de SST/SGRL en Colombia con actualización y referencias oficiales verificadas. No reemplaza la validación jurídica ni la revisión de normas sectoriales específicas (por ejemplo: minería, electricidad, hidrocarburos, químico, transporte, alimentos, construcción especializada, etc.).</x:v>
      </x:c>
    </x:row>
    <x:row r="6"/>
    <x:row r="7" ht="15" hidden="0" customHeight="1">
      <x:c r="A7" s="19" t="str">
        <x:v>Campo</x:v>
      </x:c>
      <x:c r="B7" s="19" t="str">
        <x:v>Uso recomendado</x:v>
      </x:c>
      <x:c r="D7" s="30" t="str">
        <x:v>Pasos de uso</x:v>
      </x:c>
    </x:row>
    <x:row r="8" ht="26.399999618530273" hidden="0" customHeight="1">
      <x:c r="A8" s="24" t="str">
        <x:v>Estado normativo</x:v>
      </x:c>
      <x:c r="B8" s="24" t="str">
        <x:v>Clasifica la vigencia del acto: vigente, histórica/compilada, derogada o complementaria.</x:v>
      </x:c>
      <x:c r="D8" s="24" t="str">
        <x:v>1</x:v>
      </x:c>
      <x:c r="E8" s="24" t="str">
        <x:v>Revise cada fila de la matriz legal y confirme si la norma aplica a su empresa.</x:v>
      </x:c>
    </x:row>
    <x:row r="9" ht="26.399999618530273" hidden="0" customHeight="1">
      <x:c r="A9" s="24" t="str">
        <x:v>¿Aplica a la empresa?</x:v>
      </x:c>
      <x:c r="B9" s="24" t="str">
        <x:v>Marque Sí, No o Depende según actividad económica, sedes, número de trabajadores y riesgos.</x:v>
      </x:c>
      <x:c r="D9" s="24" t="str">
        <x:v>2</x:v>
      </x:c>
      <x:c r="E9" s="24" t="str">
        <x:v>Marque el cumplimiento actual y describa el modo de cumplimiento / brecha detectada.</x:v>
      </x:c>
    </x:row>
    <x:row r="10" ht="26.399999618530273" hidden="0" customHeight="1">
      <x:c r="A10" s="24" t="str">
        <x:v>Cumple</x:v>
      </x:c>
      <x:c r="B10" s="24" t="str">
        <x:v>Valore el cumplimiento real de la organización: Sí, No, Parcial, Pendiente de evaluar o N/A.</x:v>
      </x:c>
      <x:c r="D10" s="24" t="str">
        <x:v>3</x:v>
      </x:c>
      <x:c r="E10" s="24" t="str">
        <x:v>Adjunte o relacione evidencia verificable y asigne responsable interno.</x:v>
      </x:c>
    </x:row>
    <x:row r="11" ht="26.399999618530273" hidden="0" customHeight="1">
      <x:c r="A11" s="24" t="str">
        <x:v>Modo de cumplimiento / requisito verificable</x:v>
      </x:c>
      <x:c r="B11" s="24" t="str">
        <x:v>Describa el control documental o operativo concreto que exige la norma.</x:v>
      </x:c>
      <x:c r="D11" s="24" t="str">
        <x:v>4</x:v>
      </x:c>
      <x:c r="E11" s="24" t="str">
        <x:v>Actualice la matriz ante cambios normativos, nuevos procesos, nuevas sedes o incidentes relevantes.</x:v>
      </x:c>
    </x:row>
    <x:row r="12" ht="26.399999618530273" hidden="0" customHeight="1">
      <x:c r="A12" s="24" t="str">
        <x:v>Evidencia sugerida</x:v>
      </x:c>
      <x:c r="B12" s="24" t="str">
        <x:v>Relacione soportes que prueban cumplimiento: políticas, procedimientos, registros, actas, matrices, reportes, certificaciones, etc.</x:v>
      </x:c>
      <x:c r="D12" s="24" t="str">
        <x:v>5</x:v>
      </x:c>
      <x:c r="E12" s="24" t="str">
        <x:v>Use la hoja Resumen y Dashboard para priorizar cierres, actualizaciones y riesgos de incumplimiento.</x:v>
      </x:c>
    </x:row>
    <x:row r="13" ht="26.399999618530273" hidden="0" customHeight="1">
      <x:c r="A13" s="24" t="str">
        <x:v>Responsable interno</x:v>
      </x:c>
      <x:c r="B13" s="24" t="str">
        <x:v>Asigne el proceso o cargo dueño del requisito (SST, TH, Jurídica, Operaciones, Gerencia, Mantenimiento, etc.).</x:v>
      </x:c>
    </x:row>
    <x:row r="14" ht="192" hidden="0" customHeight="1">
      <x:c r="A14" s="24" t="str">
        <x:v>Fecha última verificación</x:v>
      </x:c>
      <x:c r="B14" s="24" t="str">
        <x:v>Registre la fecha en que se revisó la evidencia o se actualizó el requisito.</x:v>
      </x:c>
      <x:c r="D14" s="12" t="str">
        <x:v>Fecha de compilación base del archivo: 2026-06-04. Se recomienda revalidar vigencia directamente en los repositorios oficiales antes de una auditoría, querella o proceso sancionatorio.</x:v>
      </x:c>
    </x:row>
    <x:row r="15" ht="26.399999618530273" hidden="0" customHeight="1">
      <x:c r="A15" s="24" t="str">
        <x:v>Fuente oficial</x:v>
      </x:c>
      <x:c r="B15" s="24" t="str">
        <x:v>Conserve el enlace institucional para consulta de texto oficial o repositorio estatal.</x:v>
      </x:c>
    </x:row>
    <x:row r="16" ht="15" hidden="0" customHeight="1">
      <x:c r="A16" s="26"/>
      <x:c r="B16" s="26"/>
    </x:row>
    <x:row r="17" ht="15" hidden="0" customHeight="1">
      <x:c r="A17" s="26"/>
      <x:c r="B17" s="26"/>
    </x:row>
    <x:row r="18" ht="15" hidden="0" customHeight="1">
      <x:c r="A18" s="26"/>
      <x:c r="B18" s="26"/>
    </x:row>
    <x:row r="19" ht="15" hidden="0" customHeight="1">
      <x:c r="A19" s="26"/>
      <x:c r="B19" s="26"/>
    </x:row>
    <x:row r="20" ht="15" hidden="0" customHeight="1">
      <x:c r="A20" s="26"/>
      <x:c r="B20" s="26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3:H3"/>
    <x:mergeCell ref="A5:H5"/>
    <x:mergeCell ref="D7:H7"/>
    <x:mergeCell ref="D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16.799999237060547" hidden="0" customHeight="1">
      <x:c r="A1" s="5" t="str">
        <x:v>Catálogos de validación</x:v>
      </x:c>
    </x:row>
    <x:row r="2"/>
    <x:row r="3" ht="15" hidden="0" customHeight="1">
      <x:c r="A3" s="19" t="str">
        <x:v>Tipo documento</x:v>
      </x:c>
      <x:c r="B3" s="19" t="str">
        <x:v>Estado normativo</x:v>
      </x:c>
      <x:c r="C3" s="19" t="str">
        <x:v>¿Aplica?</x:v>
      </x:c>
      <x:c r="D3" s="19" t="str">
        <x:v>Cumple</x:v>
      </x:c>
    </x:row>
    <x:row r="4" ht="15" hidden="0" customHeight="1">
      <x:c r="A4" s="26" t="str">
        <x:v>Ley</x:v>
      </x:c>
      <x:c r="B4" s="26" t="str">
        <x:v>Vigente</x:v>
      </x:c>
      <x:c r="C4" s="26" t="str">
        <x:v>Sí</x:v>
      </x:c>
      <x:c r="D4" s="26" t="str">
        <x:v>Sí</x:v>
      </x:c>
    </x:row>
    <x:row r="5" ht="15" hidden="0" customHeight="1">
      <x:c r="A5" s="26" t="str">
        <x:v>Decreto</x:v>
      </x:c>
      <x:c r="B5" s="26" t="str">
        <x:v>Vigente / complementaria</x:v>
      </x:c>
      <x:c r="C5" s="26" t="str">
        <x:v>No</x:v>
      </x:c>
      <x:c r="D5" s="26" t="str">
        <x:v>No</x:v>
      </x:c>
    </x:row>
    <x:row r="6" ht="15" hidden="0" customHeight="1">
      <x:c r="A6" s="26" t="str">
        <x:v>Decreto Ley</x:v>
      </x:c>
      <x:c r="B6" s="26" t="str">
        <x:v>Parcialmente vigente / complementaria</x:v>
      </x:c>
      <x:c r="C6" s="26" t="str">
        <x:v>Depende</x:v>
      </x:c>
      <x:c r="D6" s="26" t="str">
        <x:v>Parcial</x:v>
      </x:c>
    </x:row>
    <x:row r="7" ht="15" hidden="0" customHeight="1">
      <x:c r="A7" s="26" t="str">
        <x:v>Resolución</x:v>
      </x:c>
      <x:c r="B7" s="26" t="str">
        <x:v>Parcialmente vigente / base histórica</x:v>
      </x:c>
      <x:c r="C7" s="26" t="str">
        <x:v>Histórica</x:v>
      </x:c>
      <x:c r="D7" s="26" t="str">
        <x:v>Pendiente de evaluar</x:v>
      </x:c>
    </x:row>
    <x:row r="8" ht="15" hidden="0" customHeight="1">
      <x:c r="A8" s="26" t="str">
        <x:v>Circular</x:v>
      </x:c>
      <x:c r="B8" s="26" t="str">
        <x:v>Histórica / compilada</x:v>
      </x:c>
      <x:c r="C8" s="26"/>
      <x:c r="D8" s="26" t="str">
        <x:v>N/A</x:v>
      </x:c>
    </x:row>
    <x:row r="9" ht="15" hidden="0" customHeight="1">
      <x:c r="A9" s="26" t="str">
        <x:v>Guía/Plan</x:v>
      </x:c>
      <x:c r="B9" s="26" t="str">
        <x:v>Derogada</x:v>
      </x:c>
      <x:c r="C9" s="26"/>
      <x:c r="D9" s="26"/>
    </x:row>
    <x:row r="10" ht="15" hidden="0" customHeight="1">
      <x:c r="A10" s="26" t="str">
        <x:v>Otro</x:v>
      </x:c>
      <x:c r="B10" s="26" t="str">
        <x:v>Derogada / sustituida</x:v>
      </x:c>
      <x:c r="C10" s="26"/>
      <x:c r="D10" s="26"/>
    </x:row>
    <x:row r="11" ht="15" hidden="0" customHeight="1">
      <x:c r="A11" s="26"/>
      <x:c r="B11" s="26" t="str">
        <x:v>Referencia</x:v>
      </x:c>
      <x:c r="C11" s="26"/>
      <x:c r="D11" s="26"/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2" hidden="0" customWidth="1"/>
    <x:col min="4" max="4" width="8" hidden="0" customWidth="1"/>
    <x:col min="5" max="5" width="24" hidden="0" customWidth="1"/>
    <x:col min="6" max="6" width="22" hidden="0" customWidth="1"/>
    <x:col min="7" max="7" width="22" hidden="0" customWidth="1"/>
    <x:col min="8" max="8" width="42" hidden="0" customWidth="1"/>
    <x:col min="9" max="9" width="24" hidden="0" customWidth="1"/>
    <x:col min="10" max="10" width="16" hidden="0" customWidth="1"/>
    <x:col min="11" max="11" width="18" hidden="0" customWidth="1"/>
    <x:col min="12" max="12" width="42" hidden="0" customWidth="1"/>
    <x:col min="13" max="13" width="34" hidden="0" customWidth="1"/>
    <x:col min="14" max="14" width="18" hidden="0" customWidth="1"/>
    <x:col min="15" max="15" width="16" hidden="0" customWidth="1"/>
    <x:col min="16" max="16" width="42" hidden="0" customWidth="1"/>
    <x:col min="17" max="17" width="40" hidden="0" customWidth="1"/>
  </x:cols>
  <x:sheetData>
    <x:row r="1" ht="16.799999237060547" hidden="0" customHeight="1">
      <x:c r="A1" s="5" t="str">
        <x:v>Matriz Legal — Sistema General de Riesgos Laborales y Seguridad y Salud en el Trabajo (Colombia)</x:v>
      </x:c>
    </x:row>
    <x:row r="2" ht="252" hidden="0" customHeight="1">
      <x:c r="A2" s="12" t="str">
        <x:v>Compendio base de normas generales y transversales. Ajuste y complemente con normativa sectorial específica según actividad económica, peligros prioritarios y requisitos de cliente.</x:v>
      </x:c>
    </x:row>
    <x:row r="3"/>
    <x:row r="4" ht="24" hidden="0" customHeight="1">
      <x:c r="A4" s="19" t="str">
        <x:v>Ítem</x:v>
      </x:c>
      <x:c r="B4" s="19" t="str">
        <x:v>Tipo documento</x:v>
      </x:c>
      <x:c r="C4" s="19" t="str">
        <x:v>Número</x:v>
      </x:c>
      <x:c r="D4" s="19" t="str">
        <x:v>Año</x:v>
      </x:c>
      <x:c r="E4" s="19" t="str">
        <x:v>Entidad emisora</x:v>
      </x:c>
      <x:c r="F4" s="19" t="str">
        <x:v>Tema / eje</x:v>
      </x:c>
      <x:c r="G4" s="19" t="str">
        <x:v>Subtema</x:v>
      </x:c>
      <x:c r="H4" s="19" t="str">
        <x:v>Título / objeto resumido</x:v>
      </x:c>
      <x:c r="I4" s="19" t="str">
        <x:v>Estado normativo</x:v>
      </x:c>
      <x:c r="J4" s="19" t="str">
        <x:v>¿Aplica a la empresa?</x:v>
      </x:c>
      <x:c r="K4" s="19" t="str">
        <x:v>Cumple</x:v>
      </x:c>
      <x:c r="L4" s="19" t="str">
        <x:v>Modo de cumplimiento / requisito verificable</x:v>
      </x:c>
      <x:c r="M4" s="19" t="str">
        <x:v>Evidencia sugerida</x:v>
      </x:c>
      <x:c r="N4" s="19" t="str">
        <x:v>Responsable interno</x:v>
      </x:c>
      <x:c r="O4" s="19" t="str">
        <x:v>Fecha última verificación</x:v>
      </x:c>
      <x:c r="P4" s="19" t="str">
        <x:v>Fuente oficial</x:v>
      </x:c>
      <x:c r="Q4" s="19" t="str">
        <x:v>Observaciones / vigencia</x:v>
      </x:c>
    </x:row>
    <x:row r="5" ht="39.599998474121094" hidden="0" customHeight="1">
      <x:c r="A5" s="35" t="n">
        <x:v>1</x:v>
      </x:c>
      <x:c r="B5" s="24" t="str">
        <x:v>Ley</x:v>
      </x:c>
      <x:c r="C5" s="35" t="str">
        <x:v>9</x:v>
      </x:c>
      <x:c r="D5" s="35" t="n">
        <x:v>1979</x:v>
      </x:c>
      <x:c r="E5" s="24" t="str">
        <x:v>Congreso de la República</x:v>
      </x:c>
      <x:c r="F5" s="24" t="str">
        <x:v>Condiciones sanitarias y SST</x:v>
      </x:c>
      <x:c r="G5" s="24" t="str">
        <x:v>Marco sanitario ocupacional</x:v>
      </x:c>
      <x:c r="H5" s="24" t="str">
        <x:v>Código Sanitario Nacional; base sanitaria para protección de la salud de los trabajadores.</x:v>
      </x:c>
      <x:c r="I5" s="24" t="str">
        <x:v>Vigente (base general)</x:v>
      </x:c>
      <x:c r="J5" s="24" t="str">
        <x:v>Sí</x:v>
      </x:c>
      <x:c r="K5" s="24" t="str">
        <x:v>Pendiente de evaluar</x:v>
      </x:c>
      <x:c r="L5" s="24" t="str">
        <x:v>Mantener condiciones locativas, higiene, saneamiento, medicina preventiva y protección de la salud ocupacional.</x:v>
      </x:c>
      <x:c r="M5" s="24" t="str">
        <x:v>Programas/planes, inspecciones locativas, registros de saneamiento y vigilancia de salud.</x:v>
      </x:c>
      <x:c r="N5" s="24" t="str"/>
      <x:c r="O5" s="37"/>
      <x:c r="P5" s="24" t="str">
        <x:v>https://www.funcionpublica.gov.co/eva/gestornormativo/norma.php?i=1177</x:v>
      </x:c>
      <x:c r="Q5" s="24" t="str">
        <x:v>Verificar aplicabilidad según actividad económica, tamaño, nivel de riesgo, modalidad de trabajo y sector.</x:v>
      </x:c>
    </x:row>
    <x:row r="6" ht="39.599998474121094" hidden="0" customHeight="1">
      <x:c r="A6" s="35" t="n">
        <x:v>2</x:v>
      </x:c>
      <x:c r="B6" s="24" t="str">
        <x:v>Resolución</x:v>
      </x:c>
      <x:c r="C6" s="35" t="str">
        <x:v>2400</x:v>
      </x:c>
      <x:c r="D6" s="35" t="n">
        <x:v>1979</x:v>
      </x:c>
      <x:c r="E6" s="24" t="str">
        <x:v>Ministerio de Trabajo y Seguridad Social</x:v>
      </x:c>
      <x:c r="F6" s="24" t="str">
        <x:v>Higiene y seguridad industrial</x:v>
      </x:c>
      <x:c r="G6" s="24" t="str">
        <x:v>Estatuto general de seguridad industrial</x:v>
      </x:c>
      <x:c r="H6" s="24" t="str">
        <x:v>Establece disposiciones sobre vivienda, higiene y seguridad en establecimientos de trabajo.</x:v>
      </x:c>
      <x:c r="I6" s="24" t="str">
        <x:v>Vigente (complementaria)</x:v>
      </x:c>
      <x:c r="J6" s="24" t="str">
        <x:v>Sí</x:v>
      </x:c>
      <x:c r="K6" s="24" t="str">
        <x:v>Pendiente de evaluar</x:v>
      </x:c>
      <x:c r="L6" s="24" t="str">
        <x:v>Cumplir requisitos locativos, iluminación, ventilación, orden, limpieza, máquinas, herramientas, EPP y señalización.</x:v>
      </x:c>
      <x:c r="M6" s="24" t="str">
        <x:v>Inspecciones, matrices de mantenimiento, entrega de EPP, registros de señalización.</x:v>
      </x:c>
      <x:c r="N6" s="24" t="str"/>
      <x:c r="O6" s="37"/>
      <x:c r="P6" s="24" t="str">
        <x:v>https://www.funcionpublica.gov.co/eva/gestornormativo/</x:v>
      </x:c>
      <x:c r="Q6" s="24" t="str">
        <x:v>Verificar aplicabilidad según actividad económica, tamaño, nivel de riesgo, modalidad de trabajo y sector.</x:v>
      </x:c>
    </x:row>
    <x:row r="7" ht="39.599998474121094" hidden="0" customHeight="1">
      <x:c r="A7" s="35" t="n">
        <x:v>3</x:v>
      </x:c>
      <x:c r="B7" s="24" t="str">
        <x:v>Resolución</x:v>
      </x:c>
      <x:c r="C7" s="35" t="str">
        <x:v>2413</x:v>
      </x:c>
      <x:c r="D7" s="35" t="n">
        <x:v>1979</x:v>
      </x:c>
      <x:c r="E7" s="24" t="str">
        <x:v>Ministerio de Trabajo y Seguridad Social</x:v>
      </x:c>
      <x:c r="F7" s="24" t="str">
        <x:v>Seguridad industrial</x:v>
      </x:c>
      <x:c r="G7" s="24" t="str">
        <x:v>Sector construcción</x:v>
      </x:c>
      <x:c r="H7" s="24" t="str">
        <x:v>Reglamento de higiene y seguridad para la industria de la construcción.</x:v>
      </x:c>
      <x:c r="I7" s="24" t="str">
        <x:v>Vigente (sectorial)</x:v>
      </x:c>
      <x:c r="J7" s="24" t="str">
        <x:v>Depende</x:v>
      </x:c>
      <x:c r="K7" s="24" t="str">
        <x:v>Pendiente de evaluar</x:v>
      </x:c>
      <x:c r="L7" s="24" t="str">
        <x:v>Aplicar cuando existan actividades/obras de construcción.</x:v>
      </x:c>
      <x:c r="M7" s="24" t="str">
        <x:v>Procedimientos de trabajo seguro, ATS, inspecciones de obra, permisos.</x:v>
      </x:c>
      <x:c r="N7" s="24" t="str"/>
      <x:c r="O7" s="37"/>
      <x:c r="P7" s="24" t="str">
        <x:v>https://www.funcionpublica.gov.co/eva/gestornormativo/</x:v>
      </x:c>
      <x:c r="Q7" s="24" t="str">
        <x:v>Verificar aplicabilidad según actividad económica, tamaño, nivel de riesgo, modalidad de trabajo y sector.</x:v>
      </x:c>
    </x:row>
    <x:row r="8" ht="39.599998474121094" hidden="0" customHeight="1">
      <x:c r="A8" s="35" t="n">
        <x:v>4</x:v>
      </x:c>
      <x:c r="B8" s="24" t="str">
        <x:v>Decreto</x:v>
      </x:c>
      <x:c r="C8" s="35" t="str">
        <x:v>614</x:v>
      </x:c>
      <x:c r="D8" s="35" t="n">
        <x:v>1984</x:v>
      </x:c>
      <x:c r="E8" s="24" t="str">
        <x:v>Presidencia de la República</x:v>
      </x:c>
      <x:c r="F8" s="24" t="str">
        <x:v>Salud ocupacional</x:v>
      </x:c>
      <x:c r="G8" s="24" t="str">
        <x:v>Bases para organización</x:v>
      </x:c>
      <x:c r="H8" s="24" t="str">
        <x:v>Determina bases para la organización y administración de la salud ocupacional en el país.</x:v>
      </x:c>
      <x:c r="I8" s="24" t="str">
        <x:v>Parcialmente vigente / base histórica</x:v>
      </x:c>
      <x:c r="J8" s="24" t="str">
        <x:v>Sí</x:v>
      </x:c>
      <x:c r="K8" s="24" t="str">
        <x:v>Pendiente de evaluar</x:v>
      </x:c>
      <x:c r="L8" s="24" t="str">
        <x:v>Organizar actividades de medicina preventiva, del trabajo e higiene y seguridad industrial.</x:v>
      </x:c>
      <x:c r="M8" s="24" t="str">
        <x:v>Programa de salud ocupacional / SG-SST, asignación de recursos, plan anual.</x:v>
      </x:c>
      <x:c r="N8" s="24" t="str"/>
      <x:c r="O8" s="37"/>
      <x:c r="P8" s="24" t="str">
        <x:v>https://www.funcionpublica.gov.co/eva/gestornormativo/</x:v>
      </x:c>
      <x:c r="Q8" s="24" t="str">
        <x:v>Verificar aplicabilidad según actividad económica, tamaño, nivel de riesgo, modalidad de trabajo y sector.</x:v>
      </x:c>
    </x:row>
    <x:row r="9" ht="39.599998474121094" hidden="0" customHeight="1">
      <x:c r="A9" s="35" t="n">
        <x:v>5</x:v>
      </x:c>
      <x:c r="B9" s="24" t="str">
        <x:v>Resolución</x:v>
      </x:c>
      <x:c r="C9" s="35" t="str">
        <x:v>2013</x:v>
      </x:c>
      <x:c r="D9" s="35" t="n">
        <x:v>1986</x:v>
      </x:c>
      <x:c r="E9" s="24" t="str">
        <x:v>Ministerio de Trabajo y Ministerio de Salud</x:v>
      </x:c>
      <x:c r="F9" s="24" t="str">
        <x:v>Participación</x:v>
      </x:c>
      <x:c r="G9" s="24" t="str">
        <x:v>COPASST</x:v>
      </x:c>
      <x:c r="H9" s="24" t="str">
        <x:v>Reglamenta la organización y funcionamiento de los Comités de Medicina, Higiene y Seguridad Industrial (hoy COPASST).</x:v>
      </x:c>
      <x:c r="I9" s="24" t="str">
        <x:v>Vigente</x:v>
      </x:c>
      <x:c r="J9" s="24" t="str">
        <x:v>Sí</x:v>
      </x:c>
      <x:c r="K9" s="24" t="str">
        <x:v>Pendiente de evaluar</x:v>
      </x:c>
      <x:c r="L9" s="24" t="str">
        <x:v>Conformar COPASST o vigía SST según número de trabajadores y mantener actas y plan de trabajo.</x:v>
      </x:c>
      <x:c r="M9" s="24" t="str">
        <x:v>Acto de conformación, actas, cronograma, capacitaciones del COPASST.</x:v>
      </x:c>
      <x:c r="N9" s="24" t="str"/>
      <x:c r="O9" s="37"/>
      <x:c r="P9" s="24" t="str">
        <x:v>https://www.funcionpublica.gov.co/eva/gestornormativo/</x:v>
      </x:c>
      <x:c r="Q9" s="24" t="str">
        <x:v>Verificar aplicabilidad según actividad económica, tamaño, nivel de riesgo, modalidad de trabajo y sector.</x:v>
      </x:c>
    </x:row>
    <x:row r="10" ht="39.599998474121094" hidden="0" customHeight="1">
      <x:c r="A10" s="35" t="n">
        <x:v>6</x:v>
      </x:c>
      <x:c r="B10" s="24" t="str">
        <x:v>Resolución</x:v>
      </x:c>
      <x:c r="C10" s="35" t="str">
        <x:v>1016</x:v>
      </x:c>
      <x:c r="D10" s="35" t="n">
        <x:v>1989</x:v>
      </x:c>
      <x:c r="E10" s="24" t="str">
        <x:v>Ministerio de Trabajo y Seguridad Social</x:v>
      </x:c>
      <x:c r="F10" s="24" t="str">
        <x:v>Programa de salud ocupacional</x:v>
      </x:c>
      <x:c r="G10" s="24" t="str">
        <x:v>Subprogramas</x:v>
      </x:c>
      <x:c r="H10" s="24" t="str">
        <x:v>Reglamenta la organización, funcionamiento y forma de los Programas de Salud Ocupacional.</x:v>
      </x:c>
      <x:c r="I10" s="24" t="str">
        <x:v>Parcialmente vigente / complementaria</x:v>
      </x:c>
      <x:c r="J10" s="24" t="str">
        <x:v>Sí</x:v>
      </x:c>
      <x:c r="K10" s="24" t="str">
        <x:v>Pendiente de evaluar</x:v>
      </x:c>
      <x:c r="L10" s="24" t="str">
        <x:v>Planear actividades de medicina preventiva, del trabajo e higiene y seguridad industrial.</x:v>
      </x:c>
      <x:c r="M10" s="24" t="str">
        <x:v>Programas/procedimientos, cronogramas, registros de ejecución.</x:v>
      </x:c>
      <x:c r="N10" s="24" t="str"/>
      <x:c r="O10" s="37"/>
      <x:c r="P10" s="24" t="str">
        <x:v>https://www.funcionpublica.gov.co/eva/gestornormativo/</x:v>
      </x:c>
      <x:c r="Q10" s="24" t="str">
        <x:v>Verificar aplicabilidad según actividad económica, tamaño, nivel de riesgo, modalidad de trabajo y sector.</x:v>
      </x:c>
    </x:row>
    <x:row r="11" ht="39.599998474121094" hidden="0" customHeight="1">
      <x:c r="A11" s="35" t="n">
        <x:v>7</x:v>
      </x:c>
      <x:c r="B11" s="24" t="str">
        <x:v>Ley</x:v>
      </x:c>
      <x:c r="C11" s="35" t="str">
        <x:v>100</x:v>
      </x:c>
      <x:c r="D11" s="35" t="n">
        <x:v>1993</x:v>
      </x:c>
      <x:c r="E11" s="24" t="str">
        <x:v>Congreso de la República</x:v>
      </x:c>
      <x:c r="F11" s="24" t="str">
        <x:v>Seguridad social integral</x:v>
      </x:c>
      <x:c r="G11" s="24" t="str">
        <x:v>Sistema general</x:v>
      </x:c>
      <x:c r="H11" s="24" t="str">
        <x:v>Crea el Sistema de Seguridad Social Integral y soporta prestaciones y contingencias laborales.</x:v>
      </x:c>
      <x:c r="I11" s="24" t="str">
        <x:v>Vigente</x:v>
      </x:c>
      <x:c r="J11" s="24" t="str">
        <x:v>Sí</x:v>
      </x:c>
      <x:c r="K11" s="24" t="str">
        <x:v>Pendiente de evaluar</x:v>
      </x:c>
      <x:c r="L11" s="24" t="str">
        <x:v>Asegurar afiliación y cobertura dentro del sistema de seguridad social.</x:v>
      </x:c>
      <x:c r="M11" s="24" t="str">
        <x:v>Afiliaciones a EPS, AFP, ARL y pagos de seguridad social.</x:v>
      </x:c>
      <x:c r="N11" s="24" t="str"/>
      <x:c r="O11" s="37"/>
      <x:c r="P11" s="24" t="str">
        <x:v>https://www.funcionpublica.gov.co/eva/gestornormativo/</x:v>
      </x:c>
      <x:c r="Q11" s="24" t="str">
        <x:v>Verificar aplicabilidad según actividad económica, tamaño, nivel de riesgo, modalidad de trabajo y sector.</x:v>
      </x:c>
    </x:row>
    <x:row r="12" ht="39.599998474121094" hidden="0" customHeight="1">
      <x:c r="A12" s="35" t="n">
        <x:v>8</x:v>
      </x:c>
      <x:c r="B12" s="24" t="str">
        <x:v>Decreto Ley</x:v>
      </x:c>
      <x:c r="C12" s="35" t="str">
        <x:v>1295</x:v>
      </x:c>
      <x:c r="D12" s="35" t="n">
        <x:v>1994</x:v>
      </x:c>
      <x:c r="E12" s="24" t="str">
        <x:v>Presidencia de la República</x:v>
      </x:c>
      <x:c r="F12" s="24" t="str">
        <x:v>Riesgos laborales</x:v>
      </x:c>
      <x:c r="G12" s="24" t="str">
        <x:v>Organización y administración del sistema</x:v>
      </x:c>
      <x:c r="H12" s="24" t="str">
        <x:v>Determina la organización y administración del Sistema General de Riesgos Profesionales (hoy Riesgos Laborales).</x:v>
      </x:c>
      <x:c r="I12" s="24" t="str">
        <x:v>Parcialmente vigente / modificado</x:v>
      </x:c>
      <x:c r="J12" s="24" t="str">
        <x:v>Sí</x:v>
      </x:c>
      <x:c r="K12" s="24" t="str">
        <x:v>Pendiente de evaluar</x:v>
      </x:c>
      <x:c r="L12" s="24" t="str">
        <x:v>Afiliación, cotización, clasificación del riesgo, investigación y prestaciones económicas/asistenciales.</x:v>
      </x:c>
      <x:c r="M12" s="24" t="str">
        <x:v>Afiliación ARL, clasificación de riesgo, soportes de reportes AT/EL.</x:v>
      </x:c>
      <x:c r="N12" s="24" t="str"/>
      <x:c r="O12" s="37"/>
      <x:c r="P12" s="24" t="str">
        <x:v>https://www.funcionpublica.gov.co/eva/gestornormativo/norma.php?i=2629</x:v>
      </x:c>
      <x:c r="Q12" s="24" t="str">
        <x:v>Verificar aplicabilidad según actividad económica, tamaño, nivel de riesgo, modalidad de trabajo y sector.</x:v>
      </x:c>
    </x:row>
    <x:row r="13" ht="39.599998474121094" hidden="0" customHeight="1">
      <x:c r="A13" s="35" t="n">
        <x:v>9</x:v>
      </x:c>
      <x:c r="B13" s="24" t="str">
        <x:v>Decreto</x:v>
      </x:c>
      <x:c r="C13" s="35" t="str">
        <x:v>1771</x:v>
      </x:c>
      <x:c r="D13" s="35" t="n">
        <x:v>1994</x:v>
      </x:c>
      <x:c r="E13" s="24" t="str">
        <x:v>Presidencia de la República</x:v>
      </x:c>
      <x:c r="F13" s="24" t="str">
        <x:v>Riesgos laborales</x:v>
      </x:c>
      <x:c r="G13" s="24" t="str">
        <x:v>Prestaciones</x:v>
      </x:c>
      <x:c r="H13" s="24" t="str">
        <x:v>Reglamenta reembolsos y pago de prestaciones derivadas de accidentes de trabajo y enfermedad profesional.</x:v>
      </x:c>
      <x:c r="I13" s="24" t="str">
        <x:v>Vigente / complementaria</x:v>
      </x:c>
      <x:c r="J13" s="24" t="str">
        <x:v>Sí</x:v>
      </x:c>
      <x:c r="K13" s="24" t="str">
        <x:v>Pendiente de evaluar</x:v>
      </x:c>
      <x:c r="L13" s="24" t="str">
        <x:v>Gestionar adecuadamente reconocimiento y trámites de prestaciones por origen laboral.</x:v>
      </x:c>
      <x:c r="M13" s="24" t="str">
        <x:v>Reportes a ARL, incapacidades, comunicaciones y soportes de prestaciones.</x:v>
      </x:c>
      <x:c r="N13" s="24" t="str"/>
      <x:c r="O13" s="37"/>
      <x:c r="P13" s="24" t="str">
        <x:v>https://www.funcionpublica.gov.co/eva/gestornormativo/</x:v>
      </x:c>
      <x:c r="Q13" s="24" t="str">
        <x:v>Verificar aplicabilidad según actividad económica, tamaño, nivel de riesgo, modalidad de trabajo y sector.</x:v>
      </x:c>
    </x:row>
    <x:row r="14" ht="39.599998474121094" hidden="0" customHeight="1">
      <x:c r="A14" s="35" t="n">
        <x:v>10</x:v>
      </x:c>
      <x:c r="B14" s="24" t="str">
        <x:v>Decreto</x:v>
      </x:c>
      <x:c r="C14" s="35" t="str">
        <x:v>1772</x:v>
      </x:c>
      <x:c r="D14" s="35" t="n">
        <x:v>1994</x:v>
      </x:c>
      <x:c r="E14" s="24" t="str">
        <x:v>Presidencia de la República</x:v>
      </x:c>
      <x:c r="F14" s="24" t="str">
        <x:v>Riesgos laborales</x:v>
      </x:c>
      <x:c r="G14" s="24" t="str">
        <x:v>Afiliación y cotizaciones</x:v>
      </x:c>
      <x:c r="H14" s="24" t="str">
        <x:v>Reglamenta afiliación y cotizaciones al Sistema General de Riesgos Profesionales.</x:v>
      </x:c>
      <x:c r="I14" s="24" t="str">
        <x:v>Vigente / complementaria</x:v>
      </x:c>
      <x:c r="J14" s="24" t="str">
        <x:v>Sí</x:v>
      </x:c>
      <x:c r="K14" s="24" t="str">
        <x:v>Pendiente de evaluar</x:v>
      </x:c>
      <x:c r="L14" s="24" t="str">
        <x:v>Afiliar trabajadores y pagar cotizaciones correctas según clase de riesgo.</x:v>
      </x:c>
      <x:c r="M14" s="24" t="str">
        <x:v>Planillas PILA, certificados ARL, clasificación del centro de trabajo.</x:v>
      </x:c>
      <x:c r="N14" s="24" t="str"/>
      <x:c r="O14" s="37"/>
      <x:c r="P14" s="24" t="str">
        <x:v>https://www.funcionpublica.gov.co/eva/gestornormativo/</x:v>
      </x:c>
      <x:c r="Q14" s="24" t="str">
        <x:v>Verificar aplicabilidad según actividad económica, tamaño, nivel de riesgo, modalidad de trabajo y sector.</x:v>
      </x:c>
    </x:row>
    <x:row r="15" ht="39.599998474121094" hidden="0" customHeight="1">
      <x:c r="A15" s="35" t="n">
        <x:v>11</x:v>
      </x:c>
      <x:c r="B15" s="24" t="str">
        <x:v>Decreto</x:v>
      </x:c>
      <x:c r="C15" s="35" t="str">
        <x:v>1832</x:v>
      </x:c>
      <x:c r="D15" s="35" t="n">
        <x:v>1994</x:v>
      </x:c>
      <x:c r="E15" s="24" t="str">
        <x:v>Presidencia de la República</x:v>
      </x:c>
      <x:c r="F15" s="24" t="str">
        <x:v>Enfermedad laboral</x:v>
      </x:c>
      <x:c r="G15" s="24" t="str">
        <x:v>Tabla de enfermedades</x:v>
      </x:c>
      <x:c r="H15" s="24" t="str">
        <x:v>Adopta la tabla de enfermedades profesionales.</x:v>
      </x:c>
      <x:c r="I15" s="24" t="str">
        <x:v>Derogada / sustituida</x:v>
      </x:c>
      <x:c r="J15" s="24" t="str">
        <x:v>Depende</x:v>
      </x:c>
      <x:c r="K15" s="24" t="str">
        <x:v>Pendiente de evaluar</x:v>
      </x:c>
      <x:c r="L15" s="24" t="str">
        <x:v>Tomar como antecedente histórico; actualmente sustituida por normas posteriores.</x:v>
      </x:c>
      <x:c r="M15" s="24" t="str">
        <x:v>Histórico normativo; no usar como referencia vigente principal.</x:v>
      </x:c>
      <x:c r="N15" s="24" t="str"/>
      <x:c r="O15" s="37"/>
      <x:c r="P15" s="24" t="str">
        <x:v>https://www.funcionpublica.gov.co/eva/gestornormativo/</x:v>
      </x:c>
      <x:c r="Q15" s="24" t="str">
        <x:v>Conservar solo como antecedente histórico; no usar como referencia principal de cumplimiento actual.</x:v>
      </x:c>
    </x:row>
    <x:row r="16" ht="39.599998474121094" hidden="0" customHeight="1">
      <x:c r="A16" s="35" t="n">
        <x:v>12</x:v>
      </x:c>
      <x:c r="B16" s="24" t="str">
        <x:v>Decreto</x:v>
      </x:c>
      <x:c r="C16" s="35" t="str">
        <x:v>1530</x:v>
      </x:c>
      <x:c r="D16" s="35" t="n">
        <x:v>1996</x:v>
      </x:c>
      <x:c r="E16" s="24" t="str">
        <x:v>Presidencia de la República</x:v>
      </x:c>
      <x:c r="F16" s="24" t="str">
        <x:v>Riesgos laborales</x:v>
      </x:c>
      <x:c r="G16" s="24" t="str">
        <x:v>Accidente de trabajo y enfermedad profesional</x:v>
      </x:c>
      <x:c r="H16" s="24" t="str">
        <x:v>Reglamenta afiliación, reporte y prestaciones por accidente de trabajo y enfermedad profesional.</x:v>
      </x:c>
      <x:c r="I16" s="24" t="str">
        <x:v>Vigente / complementaria</x:v>
      </x:c>
      <x:c r="J16" s="24" t="str">
        <x:v>Sí</x:v>
      </x:c>
      <x:c r="K16" s="24" t="str">
        <x:v>Pendiente de evaluar</x:v>
      </x:c>
      <x:c r="L16" s="24" t="str">
        <x:v>Reportar eventos laborales y conservar soportes de investigación y prestaciones.</x:v>
      </x:c>
      <x:c r="M16" s="24" t="str">
        <x:v>FURAT/FUREL, investigaciones, comunicaciones a ARL.</x:v>
      </x:c>
      <x:c r="N16" s="24" t="str"/>
      <x:c r="O16" s="37"/>
      <x:c r="P16" s="24" t="str">
        <x:v>https://www.funcionpublica.gov.co/eva/gestornormativo/norma.php?i=8804</x:v>
      </x:c>
      <x:c r="Q16" s="24" t="str">
        <x:v>Verificar aplicabilidad según actividad económica, tamaño, nivel de riesgo, modalidad de trabajo y sector.</x:v>
      </x:c>
    </x:row>
    <x:row r="17" ht="39.599998474121094" hidden="0" customHeight="1">
      <x:c r="A17" s="35" t="n">
        <x:v>13</x:v>
      </x:c>
      <x:c r="B17" s="24" t="str">
        <x:v>Decreto</x:v>
      </x:c>
      <x:c r="C17" s="35" t="str">
        <x:v>16</x:v>
      </x:c>
      <x:c r="D17" s="35" t="n">
        <x:v>1997</x:v>
      </x:c>
      <x:c r="E17" s="24" t="str">
        <x:v>Presidencia de la República</x:v>
      </x:c>
      <x:c r="F17" s="24" t="str">
        <x:v>Participación y gobernanza</x:v>
      </x:c>
      <x:c r="G17" s="24" t="str">
        <x:v>Comités nacionales/seccionales/locales</x:v>
      </x:c>
      <x:c r="H17" s="24" t="str">
        <x:v>Reglamenta y estructura los comités nacionales, seccionales y locales de salud ocupacional.</x:v>
      </x:c>
      <x:c r="I17" s="24" t="str">
        <x:v>Vigente / institucional</x:v>
      </x:c>
      <x:c r="J17" s="24" t="str">
        <x:v>Depende</x:v>
      </x:c>
      <x:c r="K17" s="24" t="str">
        <x:v>Pendiente de evaluar</x:v>
      </x:c>
      <x:c r="L17" s="24" t="str">
        <x:v>Considerar referencia de articulación institucional del sistema.</x:v>
      </x:c>
      <x:c r="M17" s="24" t="str">
        <x:v>Soportes de participación institucional cuando aplique.</x:v>
      </x:c>
      <x:c r="N17" s="24" t="str"/>
      <x:c r="O17" s="37"/>
      <x:c r="P17" s="24" t="str">
        <x:v>https://www.funcionpublica.gov.co/eva/gestornormativo/</x:v>
      </x:c>
      <x:c r="Q17" s="24" t="str">
        <x:v>Verificar aplicabilidad según actividad económica, tamaño, nivel de riesgo, modalidad de trabajo y sector.</x:v>
      </x:c>
    </x:row>
    <x:row r="18" ht="39.599998474121094" hidden="0" customHeight="1">
      <x:c r="A18" s="35" t="n">
        <x:v>14</x:v>
      </x:c>
      <x:c r="B18" s="24" t="str">
        <x:v>Ley</x:v>
      </x:c>
      <x:c r="C18" s="35" t="str">
        <x:v>776</x:v>
      </x:c>
      <x:c r="D18" s="35" t="n">
        <x:v>2002</x:v>
      </x:c>
      <x:c r="E18" s="24" t="str">
        <x:v>Congreso de la República</x:v>
      </x:c>
      <x:c r="F18" s="24" t="str">
        <x:v>Riesgos laborales</x:v>
      </x:c>
      <x:c r="G18" s="24" t="str">
        <x:v>Prestaciones y organización</x:v>
      </x:c>
      <x:c r="H18" s="24" t="str">
        <x:v>Dicta normas sobre organización, administración y prestaciones del sistema de riesgos profesionales.</x:v>
      </x:c>
      <x:c r="I18" s="24" t="str">
        <x:v>Vigente</x:v>
      </x:c>
      <x:c r="J18" s="24" t="str">
        <x:v>Sí</x:v>
      </x:c>
      <x:c r="K18" s="24" t="str">
        <x:v>Pendiente de evaluar</x:v>
      </x:c>
      <x:c r="L18" s="24" t="str">
        <x:v>Gestionar prestaciones económicas y asistenciales, reincorporación y reubicación cuando aplique.</x:v>
      </x:c>
      <x:c r="M18" s="24" t="str">
        <x:v>Historias de caso AT/EL, reubicaciones, pagos y reportes.</x:v>
      </x:c>
      <x:c r="N18" s="24" t="str"/>
      <x:c r="O18" s="37"/>
      <x:c r="P18" s="24" t="str">
        <x:v>https://www.funcionpublica.gov.co/eva/gestornormativo/norma.php?i=16752</x:v>
      </x:c>
      <x:c r="Q18" s="24" t="str">
        <x:v>Verificar aplicabilidad según actividad económica, tamaño, nivel de riesgo, modalidad de trabajo y sector.</x:v>
      </x:c>
    </x:row>
    <x:row r="19" ht="39.599998474121094" hidden="0" customHeight="1">
      <x:c r="A19" s="35" t="n">
        <x:v>15</x:v>
      </x:c>
      <x:c r="B19" s="24" t="str">
        <x:v>Decreto</x:v>
      </x:c>
      <x:c r="C19" s="35" t="str">
        <x:v>1607</x:v>
      </x:c>
      <x:c r="D19" s="35" t="n">
        <x:v>2002</x:v>
      </x:c>
      <x:c r="E19" s="24" t="str">
        <x:v>Presidencia de la República</x:v>
      </x:c>
      <x:c r="F19" s="24" t="str">
        <x:v>Riesgos laborales</x:v>
      </x:c>
      <x:c r="G19" s="24" t="str">
        <x:v>Clasificación de actividades</x:v>
      </x:c>
      <x:c r="H19" s="24" t="str">
        <x:v>Modifica la tabla de clasificación de actividades económicas para el Sistema General de Riesgos Profesionales.</x:v>
      </x:c>
      <x:c r="I19" s="24" t="str">
        <x:v>Vigente</x:v>
      </x:c>
      <x:c r="J19" s="24" t="str">
        <x:v>Sí</x:v>
      </x:c>
      <x:c r="K19" s="24" t="str">
        <x:v>Pendiente de evaluar</x:v>
      </x:c>
      <x:c r="L19" s="24" t="str">
        <x:v>Clasificar correctamente la actividad económica y clase de riesgo para cotización.</x:v>
      </x:c>
      <x:c r="M19" s="24" t="str">
        <x:v>Certificación ARL, RUT/CIIU, PILA, matriz de centros de trabajo.</x:v>
      </x:c>
      <x:c r="N19" s="24" t="str"/>
      <x:c r="O19" s="37"/>
      <x:c r="P19" s="24" t="str">
        <x:v>https://www.funcionpublica.gov.co/eva/gestornormativo/</x:v>
      </x:c>
      <x:c r="Q19" s="24" t="str">
        <x:v>Verificar aplicabilidad según actividad económica, tamaño, nivel de riesgo, modalidad de trabajo y sector.</x:v>
      </x:c>
    </x:row>
    <x:row r="20" ht="39.599998474121094" hidden="0" customHeight="1">
      <x:c r="A20" s="35" t="n">
        <x:v>16</x:v>
      </x:c>
      <x:c r="B20" s="24" t="str">
        <x:v>Decreto Ley</x:v>
      </x:c>
      <x:c r="C20" s="35" t="str">
        <x:v>2090</x:v>
      </x:c>
      <x:c r="D20" s="35" t="n">
        <x:v>2003</x:v>
      </x:c>
      <x:c r="E20" s="24" t="str">
        <x:v>Presidencia de la República</x:v>
      </x:c>
      <x:c r="F20" s="24" t="str">
        <x:v>Riesgos laborales</x:v>
      </x:c>
      <x:c r="G20" s="24" t="str">
        <x:v>Actividades de alto riesgo</x:v>
      </x:c>
      <x:c r="H20" s="24" t="str">
        <x:v>Define actividades de alto riesgo para la salud del trabajador y régimen pensional especial.</x:v>
      </x:c>
      <x:c r="I20" s="24" t="str">
        <x:v>Vigente</x:v>
      </x:c>
      <x:c r="J20" s="24" t="str">
        <x:v>Depende</x:v>
      </x:c>
      <x:c r="K20" s="24" t="str">
        <x:v>Pendiente de evaluar</x:v>
      </x:c>
      <x:c r="L20" s="24" t="str">
        <x:v>Aplicar si la empresa desarrolla actividades catalogadas de alto riesgo.</x:v>
      </x:c>
      <x:c r="M20" s="24" t="str">
        <x:v>Estudios de cargos, soporte de actividad de alto riesgo, cotizaciones especiales.</x:v>
      </x:c>
      <x:c r="N20" s="24" t="str"/>
      <x:c r="O20" s="37"/>
      <x:c r="P20" s="24" t="str">
        <x:v>https://www.funcionpublica.gov.co/eva/gestornormativo/norma.php?i=9193</x:v>
      </x:c>
      <x:c r="Q20" s="24" t="str">
        <x:v>Verificar aplicabilidad según actividad económica, tamaño, nivel de riesgo, modalidad de trabajo y sector.</x:v>
      </x:c>
    </x:row>
    <x:row r="21" ht="39.599998474121094" hidden="0" customHeight="1">
      <x:c r="A21" s="35" t="n">
        <x:v>17</x:v>
      </x:c>
      <x:c r="B21" s="24" t="str">
        <x:v>Ley</x:v>
      </x:c>
      <x:c r="C21" s="35" t="str">
        <x:v>1010</x:v>
      </x:c>
      <x:c r="D21" s="35" t="n">
        <x:v>2006</x:v>
      </x:c>
      <x:c r="E21" s="24" t="str">
        <x:v>Congreso de la República</x:v>
      </x:c>
      <x:c r="F21" s="24" t="str">
        <x:v>Riesgo psicosocial y convivencia</x:v>
      </x:c>
      <x:c r="G21" s="24" t="str">
        <x:v>Acoso laboral</x:v>
      </x:c>
      <x:c r="H21" s="24" t="str">
        <x:v>Adopta medidas para prevenir, corregir y sancionar el acoso laboral y otros hostigamientos.</x:v>
      </x:c>
      <x:c r="I21" s="24" t="str">
        <x:v>Vigente</x:v>
      </x:c>
      <x:c r="J21" s="24" t="str">
        <x:v>Sí</x:v>
      </x:c>
      <x:c r="K21" s="24" t="str">
        <x:v>Pendiente de evaluar</x:v>
      </x:c>
      <x:c r="L21" s="24" t="str">
        <x:v>Implementar medidas preventivas, canales de queja, formación y ruta de atención.</x:v>
      </x:c>
      <x:c r="M21" s="24" t="str">
        <x:v>Política/Procedimiento, capacitaciones, actas del comité, registros de quejas.</x:v>
      </x:c>
      <x:c r="N21" s="24" t="str"/>
      <x:c r="O21" s="37"/>
      <x:c r="P21" s="24" t="str">
        <x:v>https://www.funcionpublica.gov.co/eva/gestornormativo/</x:v>
      </x:c>
      <x:c r="Q21" s="24" t="str">
        <x:v>Verificar aplicabilidad según actividad económica, tamaño, nivel de riesgo, modalidad de trabajo y sector.</x:v>
      </x:c>
    </x:row>
    <x:row r="22" ht="39.599998474121094" hidden="0" customHeight="1">
      <x:c r="A22" s="35" t="n">
        <x:v>18</x:v>
      </x:c>
      <x:c r="B22" s="24" t="str">
        <x:v>Resolución</x:v>
      </x:c>
      <x:c r="C22" s="35" t="str">
        <x:v>1401</x:v>
      </x:c>
      <x:c r="D22" s="35" t="n">
        <x:v>2007</x:v>
      </x:c>
      <x:c r="E22" s="24" t="str">
        <x:v>Ministerio de la Protección Social</x:v>
      </x:c>
      <x:c r="F22" s="24" t="str">
        <x:v>Investigación de eventos</x:v>
      </x:c>
      <x:c r="G22" s="24" t="str">
        <x:v>AT e incidentes</x:v>
      </x:c>
      <x:c r="H22" s="24" t="str">
        <x:v>Reglamenta la investigación de incidentes y accidentes de trabajo.</x:v>
      </x:c>
      <x:c r="I22" s="24" t="str">
        <x:v>Vigente</x:v>
      </x:c>
      <x:c r="J22" s="24" t="str">
        <x:v>Sí</x:v>
      </x:c>
      <x:c r="K22" s="24" t="str">
        <x:v>Pendiente de evaluar</x:v>
      </x:c>
      <x:c r="L22" s="24" t="str">
        <x:v>Investigar AT e incidentes, definir causas y planes de acción con oportunidad.</x:v>
      </x:c>
      <x:c r="M22" s="24" t="str">
        <x:v>Formatos de investigación, árbol de causas, APCM, seguimiento.</x:v>
      </x:c>
      <x:c r="N22" s="24" t="str"/>
      <x:c r="O22" s="37"/>
      <x:c r="P22" s="24" t="str">
        <x:v>https://www.funcionpublica.gov.co/eva/gestornormativo/</x:v>
      </x:c>
      <x:c r="Q22" s="24" t="str">
        <x:v>Verificar aplicabilidad según actividad económica, tamaño, nivel de riesgo, modalidad de trabajo y sector.</x:v>
      </x:c>
    </x:row>
    <x:row r="23" ht="39.599998474121094" hidden="0" customHeight="1">
      <x:c r="A23" s="35" t="n">
        <x:v>19</x:v>
      </x:c>
      <x:c r="B23" s="24" t="str">
        <x:v>Resolución</x:v>
      </x:c>
      <x:c r="C23" s="35" t="str">
        <x:v>2346</x:v>
      </x:c>
      <x:c r="D23" s="35" t="n">
        <x:v>2007</x:v>
      </x:c>
      <x:c r="E23" s="24" t="str">
        <x:v>Ministerio de la Protección Social</x:v>
      </x:c>
      <x:c r="F23" s="24" t="str">
        <x:v>Medicina del trabajo</x:v>
      </x:c>
      <x:c r="G23" s="24" t="str">
        <x:v>Evaluaciones médicas ocupacionales</x:v>
      </x:c>
      <x:c r="H23" s="24" t="str">
        <x:v>Regula evaluaciones médicas ocupacionales e historias clínicas ocupacionales.</x:v>
      </x:c>
      <x:c r="I23" s="24" t="str">
        <x:v>Derogada por Res. 1843 de 2025</x:v>
      </x:c>
      <x:c r="J23" s="24" t="str">
        <x:v>Histórica</x:v>
      </x:c>
      <x:c r="K23" s="24" t="str">
        <x:v>Pendiente de evaluar</x:v>
      </x:c>
      <x:c r="L23" s="24" t="str">
        <x:v>Actualizar procedimientos y formatos a la norma vigente.</x:v>
      </x:c>
      <x:c r="M23" s="24" t="str">
        <x:v>Histórico; conservar trazabilidad documental de prácticas anteriores.</x:v>
      </x:c>
      <x:c r="N23" s="24" t="str"/>
      <x:c r="O23" s="37"/>
      <x:c r="P23" s="24" t="str">
        <x:v>https://www.funcionpublica.gov.co/eva/gestornormativo/norma.php?i=85863</x:v>
      </x:c>
      <x:c r="Q23" s="24" t="str">
        <x:v>Actualizar procedimientos y formatos de evaluaciones médicas ocupacionales a la Resolución 1843 de 2025.</x:v>
      </x:c>
    </x:row>
    <x:row r="24" ht="39.599998474121094" hidden="0" customHeight="1">
      <x:c r="A24" s="35" t="n">
        <x:v>20</x:v>
      </x:c>
      <x:c r="B24" s="24" t="str">
        <x:v>Ley</x:v>
      </x:c>
      <x:c r="C24" s="35" t="str">
        <x:v>1221</x:v>
      </x:c>
      <x:c r="D24" s="35" t="n">
        <x:v>2008</x:v>
      </x:c>
      <x:c r="E24" s="24" t="str">
        <x:v>Congreso de la República</x:v>
      </x:c>
      <x:c r="F24" s="24" t="str">
        <x:v>Teletrabajo</x:v>
      </x:c>
      <x:c r="G24" s="24" t="str">
        <x:v>Modalidades de trabajo</x:v>
      </x:c>
      <x:c r="H24" s="24" t="str">
        <x:v>Establece normas para promover y regular el teletrabajo.</x:v>
      </x:c>
      <x:c r="I24" s="24" t="str">
        <x:v>Vigente</x:v>
      </x:c>
      <x:c r="J24" s="24" t="str">
        <x:v>Depende</x:v>
      </x:c>
      <x:c r="K24" s="24" t="str">
        <x:v>Pendiente de evaluar</x:v>
      </x:c>
      <x:c r="L24" s="24" t="str">
        <x:v>Definir condiciones de teletrabajo y responsabilidades en SST/TIC.</x:v>
      </x:c>
      <x:c r="M24" s="24" t="str">
        <x:v>Política de teletrabajo, acuerdos, autoevaluación de puesto, reportes ARL.</x:v>
      </x:c>
      <x:c r="N24" s="24" t="str"/>
      <x:c r="O24" s="37"/>
      <x:c r="P24" s="24" t="str">
        <x:v>https://www.funcionpublica.gov.co/eva/gestornormativo/norma.php?i=31431</x:v>
      </x:c>
      <x:c r="Q24" s="24" t="str">
        <x:v>Verificar aplicabilidad según actividad económica, tamaño, nivel de riesgo, modalidad de trabajo y sector.</x:v>
      </x:c>
    </x:row>
    <x:row r="25" ht="39.599998474121094" hidden="0" customHeight="1">
      <x:c r="A25" s="35" t="n">
        <x:v>21</x:v>
      </x:c>
      <x:c r="B25" s="24" t="str">
        <x:v>Resolución</x:v>
      </x:c>
      <x:c r="C25" s="35" t="str">
        <x:v>2646</x:v>
      </x:c>
      <x:c r="D25" s="35" t="n">
        <x:v>2008</x:v>
      </x:c>
      <x:c r="E25" s="24" t="str">
        <x:v>Ministerio de la Protección Social</x:v>
      </x:c>
      <x:c r="F25" s="24" t="str">
        <x:v>Riesgo psicosocial</x:v>
      </x:c>
      <x:c r="G25" s="24" t="str">
        <x:v>Identificación, evaluación e intervención</x:v>
      </x:c>
      <x:c r="H25" s="24" t="str">
        <x:v>Establece disposiciones y responsabilidades para identificación, evaluación, prevención, intervención y monitoreo de factores de riesgo psicosocial.</x:v>
      </x:c>
      <x:c r="I25" s="24" t="str">
        <x:v>Vigente (complementada por normas posteriores)</x:v>
      </x:c>
      <x:c r="J25" s="24" t="str">
        <x:v>Sí</x:v>
      </x:c>
      <x:c r="K25" s="24" t="str">
        <x:v>Pendiente de evaluar</x:v>
      </x:c>
      <x:c r="L25" s="24" t="str">
        <x:v>Evaluar riesgo psicosocial, intervenir y monitorear; adoptar medidas de prevención del acoso.</x:v>
      </x:c>
      <x:c r="M25" s="24" t="str">
        <x:v>Batería psicosocial, informes, planes de intervención, capacitaciones.</x:v>
      </x:c>
      <x:c r="N25" s="24" t="str"/>
      <x:c r="O25" s="37"/>
      <x:c r="P25" s="24" t="str">
        <x:v>https://www.funcionpublica.gov.co/eva/gestornormativo/</x:v>
      </x:c>
      <x:c r="Q25" s="24" t="str">
        <x:v>Verificar aplicabilidad según actividad económica, tamaño, nivel de riesgo, modalidad de trabajo y sector.</x:v>
      </x:c>
    </x:row>
    <x:row r="26" ht="39.599998474121094" hidden="0" customHeight="1">
      <x:c r="A26" s="35" t="n">
        <x:v>22</x:v>
      </x:c>
      <x:c r="B26" s="24" t="str">
        <x:v>Resolución</x:v>
      </x:c>
      <x:c r="C26" s="35" t="str">
        <x:v>1918</x:v>
      </x:c>
      <x:c r="D26" s="35" t="n">
        <x:v>2009</x:v>
      </x:c>
      <x:c r="E26" s="24" t="str">
        <x:v>Ministerio de la Protección Social</x:v>
      </x:c>
      <x:c r="F26" s="24" t="str">
        <x:v>Medicina del trabajo</x:v>
      </x:c>
      <x:c r="G26" s="24" t="str">
        <x:v>Modifica evaluaciones médicas</x:v>
      </x:c>
      <x:c r="H26" s="24" t="str">
        <x:v>Modifica artículos de la Resolución 2346 de 2007 sobre evaluaciones médicas ocupacionales.</x:v>
      </x:c>
      <x:c r="I26" s="24" t="str">
        <x:v>Derogada por Res. 1843 de 2025</x:v>
      </x:c>
      <x:c r="J26" s="24" t="str">
        <x:v>Histórica</x:v>
      </x:c>
      <x:c r="K26" s="24" t="str">
        <x:v>Pendiente de evaluar</x:v>
      </x:c>
      <x:c r="L26" s="24" t="str">
        <x:v>Actualizar procedimientos a norma vigente.</x:v>
      </x:c>
      <x:c r="M26" s="24" t="str">
        <x:v>Histórico normativo de EMO.</x:v>
      </x:c>
      <x:c r="N26" s="24" t="str"/>
      <x:c r="O26" s="37"/>
      <x:c r="P26" s="24" t="str">
        <x:v>https://www.funcionpublica.gov.co/eva/gestornormativo/norma.php?i=36469</x:v>
      </x:c>
      <x:c r="Q26" s="24" t="str">
        <x:v>Actualizar procedimientos y formatos de evaluaciones médicas ocupacionales a la Resolución 1843 de 2025.</x:v>
      </x:c>
    </x:row>
    <x:row r="27" ht="39.599998474121094" hidden="0" customHeight="1">
      <x:c r="A27" s="35" t="n">
        <x:v>23</x:v>
      </x:c>
      <x:c r="B27" s="24" t="str">
        <x:v>Decreto</x:v>
      </x:c>
      <x:c r="C27" s="35" t="str">
        <x:v>2566</x:v>
      </x:c>
      <x:c r="D27" s="35" t="n">
        <x:v>2009</x:v>
      </x:c>
      <x:c r="E27" s="24" t="str">
        <x:v>Presidencia de la República</x:v>
      </x:c>
      <x:c r="F27" s="24" t="str">
        <x:v>Enfermedad laboral</x:v>
      </x:c>
      <x:c r="G27" s="24" t="str">
        <x:v>Tabla de enfermedades</x:v>
      </x:c>
      <x:c r="H27" s="24" t="str">
        <x:v>Adopta la tabla de enfermedades profesionales.</x:v>
      </x:c>
      <x:c r="I27" s="24" t="str">
        <x:v>Derogada / sustituida por Dec. 1477 de 2014</x:v>
      </x:c>
      <x:c r="J27" s="24" t="str">
        <x:v>Histórica</x:v>
      </x:c>
      <x:c r="K27" s="24" t="str">
        <x:v>Pendiente de evaluar</x:v>
      </x:c>
      <x:c r="L27" s="24" t="str">
        <x:v>Usar solo como antecedente histórico.</x:v>
      </x:c>
      <x:c r="M27" s="24" t="str">
        <x:v>Histórico normativo de enfermedad laboral.</x:v>
      </x:c>
      <x:c r="N27" s="24" t="str"/>
      <x:c r="O27" s="37"/>
      <x:c r="P27" s="24" t="str">
        <x:v>https://www.funcionpublica.gov.co/eva/gestornormativo/</x:v>
      </x:c>
      <x:c r="Q27" s="24" t="str">
        <x:v>Conservar solo como antecedente histórico; no usar como referencia principal de cumplimiento actual.</x:v>
      </x:c>
    </x:row>
    <x:row r="28" ht="39.599998474121094" hidden="0" customHeight="1">
      <x:c r="A28" s="35" t="n">
        <x:v>24</x:v>
      </x:c>
      <x:c r="B28" s="24" t="str">
        <x:v>Ley</x:v>
      </x:c>
      <x:c r="C28" s="35" t="str">
        <x:v>1562</x:v>
      </x:c>
      <x:c r="D28" s="35" t="n">
        <x:v>2012</x:v>
      </x:c>
      <x:c r="E28" s="24" t="str">
        <x:v>Congreso de la República</x:v>
      </x:c>
      <x:c r="F28" s="24" t="str">
        <x:v>Riesgos laborales</x:v>
      </x:c>
      <x:c r="G28" s="24" t="str">
        <x:v>Reforma del sistema</x:v>
      </x:c>
      <x:c r="H28" s="24" t="str">
        <x:v>Modifica el Sistema de Riesgos Laborales y redefine salud ocupacional como Seguridad y Salud en el Trabajo.</x:v>
      </x:c>
      <x:c r="I28" s="24" t="str">
        <x:v>Vigente</x:v>
      </x:c>
      <x:c r="J28" s="24" t="str">
        <x:v>Sí</x:v>
      </x:c>
      <x:c r="K28" s="24" t="str">
        <x:v>Pendiente de evaluar</x:v>
      </x:c>
      <x:c r="L28" s="24" t="str">
        <x:v>Implementar SG-SST, fortalecer prevención, cobertura y responsabilidades del sistema.</x:v>
      </x:c>
      <x:c r="M28" s="24" t="str">
        <x:v>Política SST, SG-SST, indicadores, reportes a ARL, auditorías.</x:v>
      </x:c>
      <x:c r="N28" s="24" t="str"/>
      <x:c r="O28" s="37"/>
      <x:c r="P28" s="24" t="str">
        <x:v>https://www.funcionpublica.gov.co/eva/gestornormativo/norma.php?i=48365</x:v>
      </x:c>
      <x:c r="Q28" s="24" t="str">
        <x:v>Verificar aplicabilidad según actividad económica, tamaño, nivel de riesgo, modalidad de trabajo y sector.</x:v>
      </x:c>
    </x:row>
    <x:row r="29" ht="39.599998474121094" hidden="0" customHeight="1">
      <x:c r="A29" s="35" t="n">
        <x:v>25</x:v>
      </x:c>
      <x:c r="B29" s="24" t="str">
        <x:v>Resolución</x:v>
      </x:c>
      <x:c r="C29" s="35" t="str">
        <x:v>652</x:v>
      </x:c>
      <x:c r="D29" s="35" t="n">
        <x:v>2012</x:v>
      </x:c>
      <x:c r="E29" s="24" t="str">
        <x:v>Ministerio del Trabajo</x:v>
      </x:c>
      <x:c r="F29" s="24" t="str">
        <x:v>Convivencia laboral</x:v>
      </x:c>
      <x:c r="G29" s="24" t="str">
        <x:v>Comité de convivencia</x:v>
      </x:c>
      <x:c r="H29" s="24" t="str">
        <x:v>Establece la conformación y funcionamiento del Comité de Convivencia Laboral.</x:v>
      </x:c>
      <x:c r="I29" s="24" t="str">
        <x:v>Derogada por Res. 3461 de 2025</x:v>
      </x:c>
      <x:c r="J29" s="24" t="str">
        <x:v>Histórica</x:v>
      </x:c>
      <x:c r="K29" s="24" t="str">
        <x:v>Pendiente de evaluar</x:v>
      </x:c>
      <x:c r="L29" s="24" t="str">
        <x:v>Actualizar el procedimiento y la conformación a la norma vigente 2025.</x:v>
      </x:c>
      <x:c r="M29" s="24" t="str">
        <x:v>Histórico de conformación / actas anteriores.</x:v>
      </x:c>
      <x:c r="N29" s="24" t="str"/>
      <x:c r="O29" s="37"/>
      <x:c r="P29" s="24" t="str">
        <x:v>https://www.funcionpublica.gov.co/eva/gestornormativo/norma.php?i=161738</x:v>
      </x:c>
      <x:c r="Q29" s="24" t="str">
        <x:v>Actualizar conformación, funcionamiento y procedimiento del Comité de Convivencia Laboral a la Resolución 3461 de 2025.</x:v>
      </x:c>
    </x:row>
    <x:row r="30" ht="39.599998474121094" hidden="0" customHeight="1">
      <x:c r="A30" s="35" t="n">
        <x:v>26</x:v>
      </x:c>
      <x:c r="B30" s="24" t="str">
        <x:v>Resolución</x:v>
      </x:c>
      <x:c r="C30" s="35" t="str">
        <x:v>1356</x:v>
      </x:c>
      <x:c r="D30" s="35" t="n">
        <x:v>2012</x:v>
      </x:c>
      <x:c r="E30" s="24" t="str">
        <x:v>Ministerio del Trabajo</x:v>
      </x:c>
      <x:c r="F30" s="24" t="str">
        <x:v>Convivencia laboral</x:v>
      </x:c>
      <x:c r="G30" s="24" t="str">
        <x:v>Modificación del comité</x:v>
      </x:c>
      <x:c r="H30" s="24" t="str">
        <x:v>Modifica parcialmente la Resolución 652 de 2012.</x:v>
      </x:c>
      <x:c r="I30" s="24" t="str">
        <x:v>Derogada por Res. 3461 de 2025</x:v>
      </x:c>
      <x:c r="J30" s="24" t="str">
        <x:v>Histórica</x:v>
      </x:c>
      <x:c r="K30" s="24" t="str">
        <x:v>Pendiente de evaluar</x:v>
      </x:c>
      <x:c r="L30" s="24" t="str">
        <x:v>Actualizar lineamientos y formatos a la resolución vigente.</x:v>
      </x:c>
      <x:c r="M30" s="24" t="str">
        <x:v>Histórico normativo del CCL.</x:v>
      </x:c>
      <x:c r="N30" s="24" t="str"/>
      <x:c r="O30" s="37"/>
      <x:c r="P30" s="24" t="str">
        <x:v>https://www.funcionpublica.gov.co/eva/gestornormativo/norma.php?i=161750</x:v>
      </x:c>
      <x:c r="Q30" s="24" t="str">
        <x:v>Actualizar conformación, funcionamiento y procedimiento del Comité de Convivencia Laboral a la Resolución 3461 de 2025.</x:v>
      </x:c>
    </x:row>
    <x:row r="31" ht="39.599998474121094" hidden="0" customHeight="1">
      <x:c r="A31" s="35" t="n">
        <x:v>27</x:v>
      </x:c>
      <x:c r="B31" s="24" t="str">
        <x:v>Decreto</x:v>
      </x:c>
      <x:c r="C31" s="35" t="str">
        <x:v>884</x:v>
      </x:c>
      <x:c r="D31" s="35" t="n">
        <x:v>2012</x:v>
      </x:c>
      <x:c r="E31" s="24" t="str">
        <x:v>Presidencia de la República</x:v>
      </x:c>
      <x:c r="F31" s="24" t="str">
        <x:v>Teletrabajo</x:v>
      </x:c>
      <x:c r="G31" s="24" t="str">
        <x:v>Reglamentación</x:v>
      </x:c>
      <x:c r="H31" s="24" t="str">
        <x:v>Reglamenta la Ley 1221 de 2008 de teletrabajo.</x:v>
      </x:c>
      <x:c r="I31" s="24" t="str">
        <x:v>Parcialmente vigente / complementada</x:v>
      </x:c>
      <x:c r="J31" s="24" t="str">
        <x:v>Depende</x:v>
      </x:c>
      <x:c r="K31" s="24" t="str">
        <x:v>Pendiente de evaluar</x:v>
      </x:c>
      <x:c r="L31" s="24" t="str">
        <x:v>Definir política, roles, visitas o autoevaluaciones y coordinación con ARL para teletrabajo.</x:v>
      </x:c>
      <x:c r="M31" s="24" t="str">
        <x:v>Política interna, acuerdos, autoevaluaciones, capacitación.</x:v>
      </x:c>
      <x:c r="N31" s="24" t="str"/>
      <x:c r="O31" s="37"/>
      <x:c r="P31" s="24" t="str">
        <x:v>https://www.funcionpublica.gov.co/eva/gestornormativo/norma.php?i=47216</x:v>
      </x:c>
      <x:c r="Q31" s="24" t="str">
        <x:v>Verificar aplicabilidad según actividad económica, tamaño, nivel de riesgo, modalidad de trabajo y sector.</x:v>
      </x:c>
    </x:row>
    <x:row r="32" ht="52.79999923706055" hidden="0" customHeight="1">
      <x:c r="A32" s="35" t="n">
        <x:v>28</x:v>
      </x:c>
      <x:c r="B32" s="24" t="str">
        <x:v>Decreto</x:v>
      </x:c>
      <x:c r="C32" s="35" t="str">
        <x:v>723</x:v>
      </x:c>
      <x:c r="D32" s="35" t="n">
        <x:v>2013</x:v>
      </x:c>
      <x:c r="E32" s="24" t="str">
        <x:v>Presidencia de la República</x:v>
      </x:c>
      <x:c r="F32" s="24" t="str">
        <x:v>Riesgos laborales</x:v>
      </x:c>
      <x:c r="G32" s="24" t="str">
        <x:v>Contratistas e independientes</x:v>
      </x:c>
      <x:c r="H32" s="24" t="str">
        <x:v>Reglamenta la afiliación al sistema de riesgos laborales de personas vinculadas por contrato de prestación de servicios con duración superior a un mes.</x:v>
      </x:c>
      <x:c r="I32" s="24" t="str">
        <x:v>Vigente</x:v>
      </x:c>
      <x:c r="J32" s="24" t="str">
        <x:v>Depende</x:v>
      </x:c>
      <x:c r="K32" s="24" t="str">
        <x:v>Pendiente de evaluar</x:v>
      </x:c>
      <x:c r="L32" s="24" t="str">
        <x:v>Exigir y verificar afiliación a ARL de contratistas obligados.</x:v>
      </x:c>
      <x:c r="M32" s="24" t="str">
        <x:v>Contratos, soportes de afiliación ARL, matriz de contratistas.</x:v>
      </x:c>
      <x:c r="N32" s="24" t="str"/>
      <x:c r="O32" s="37"/>
      <x:c r="P32" s="24" t="str">
        <x:v>https://www.funcionpublica.gov.co/eva/gestornormativo/</x:v>
      </x:c>
      <x:c r="Q32" s="24" t="str">
        <x:v>Verificar aplicabilidad según actividad económica, tamaño, nivel de riesgo, modalidad de trabajo y sector.</x:v>
      </x:c>
    </x:row>
    <x:row r="33" ht="39.599998474121094" hidden="0" customHeight="1">
      <x:c r="A33" s="35" t="n">
        <x:v>29</x:v>
      </x:c>
      <x:c r="B33" s="24" t="str">
        <x:v>Ley</x:v>
      </x:c>
      <x:c r="C33" s="35" t="str">
        <x:v>1616</x:v>
      </x:c>
      <x:c r="D33" s="35" t="n">
        <x:v>2013</x:v>
      </x:c>
      <x:c r="E33" s="24" t="str">
        <x:v>Congreso de la República</x:v>
      </x:c>
      <x:c r="F33" s="24" t="str">
        <x:v>Salud mental</x:v>
      </x:c>
      <x:c r="G33" s="24" t="str">
        <x:v>Promoción y atención</x:v>
      </x:c>
      <x:c r="H33" s="24" t="str">
        <x:v>Expide la ley de salud mental y sirve de soporte para acciones de promoción y prevención en el trabajo.</x:v>
      </x:c>
      <x:c r="I33" s="24" t="str">
        <x:v>Vigente (modificada por Ley 2460 de 2025)</x:v>
      </x:c>
      <x:c r="J33" s="24" t="str">
        <x:v>Sí</x:v>
      </x:c>
      <x:c r="K33" s="24" t="str">
        <x:v>Pendiente de evaluar</x:v>
      </x:c>
      <x:c r="L33" s="24" t="str">
        <x:v>Integrar acciones de promoción y prevención en salud mental cuando aplique.</x:v>
      </x:c>
      <x:c r="M33" s="24" t="str">
        <x:v>Programas de bienestar/psicosocial, rutas de atención, campañas.</x:v>
      </x:c>
      <x:c r="N33" s="24" t="str"/>
      <x:c r="O33" s="37"/>
      <x:c r="P33" s="24" t="str">
        <x:v>https://www.funcionpublica.gov.co/eva/gestornormativo/norma.php?i=51292</x:v>
      </x:c>
      <x:c r="Q33" s="24" t="str">
        <x:v>Verificar aplicabilidad según actividad económica, tamaño, nivel de riesgo, modalidad de trabajo y sector.</x:v>
      </x:c>
    </x:row>
    <x:row r="34" ht="39.599998474121094" hidden="0" customHeight="1">
      <x:c r="A34" s="35" t="n">
        <x:v>30</x:v>
      </x:c>
      <x:c r="B34" s="24" t="str">
        <x:v>Decreto</x:v>
      </x:c>
      <x:c r="C34" s="35" t="str">
        <x:v>1443</x:v>
      </x:c>
      <x:c r="D34" s="35" t="n">
        <x:v>2014</x:v>
      </x:c>
      <x:c r="E34" s="24" t="str">
        <x:v>Presidencia de la República</x:v>
      </x:c>
      <x:c r="F34" s="24" t="str">
        <x:v>SG-SST</x:v>
      </x:c>
      <x:c r="G34" s="24" t="str">
        <x:v>Implementación del sistema</x:v>
      </x:c>
      <x:c r="H34" s="24" t="str">
        <x:v>Dicta disposiciones para la implementación del SG-SST.</x:v>
      </x:c>
      <x:c r="I34" s="24" t="str">
        <x:v>Histórica / compilada en Dec. 1072 de 2015</x:v>
      </x:c>
      <x:c r="J34" s="24" t="str">
        <x:v>Sí</x:v>
      </x:c>
      <x:c r="K34" s="24" t="str">
        <x:v>Pendiente de evaluar</x:v>
      </x:c>
      <x:c r="L34" s="24" t="str">
        <x:v>Usar como antecedente del SG-SST hoy compilado en el Decreto 1072.</x:v>
      </x:c>
      <x:c r="M34" s="24" t="str">
        <x:v>Procedimientos SG-SST, plan anual, indicadores, auditoría.</x:v>
      </x:c>
      <x:c r="N34" s="24" t="str"/>
      <x:c r="O34" s="37"/>
      <x:c r="P34" s="24" t="str">
        <x:v>https://www.funcionpublica.gov.co/eva/gestornormativo/norma.php?i=58841</x:v>
      </x:c>
      <x:c r="Q34" s="24" t="str">
        <x:v>Norma de referencia histórica o compilada; verificar la norma vigente que la sustituye o compila.</x:v>
      </x:c>
    </x:row>
    <x:row r="35" ht="39.599998474121094" hidden="0" customHeight="1">
      <x:c r="A35" s="35" t="n">
        <x:v>31</x:v>
      </x:c>
      <x:c r="B35" s="24" t="str">
        <x:v>Decreto</x:v>
      </x:c>
      <x:c r="C35" s="35" t="str">
        <x:v>1477</x:v>
      </x:c>
      <x:c r="D35" s="35" t="n">
        <x:v>2014</x:v>
      </x:c>
      <x:c r="E35" s="24" t="str">
        <x:v>Presidencia de la República</x:v>
      </x:c>
      <x:c r="F35" s="24" t="str">
        <x:v>Enfermedad laboral</x:v>
      </x:c>
      <x:c r="G35" s="24" t="str">
        <x:v>Tabla de enfermedades</x:v>
      </x:c>
      <x:c r="H35" s="24" t="str">
        <x:v>Expide la tabla de enfermedades laborales.</x:v>
      </x:c>
      <x:c r="I35" s="24" t="str">
        <x:v>Vigente</x:v>
      </x:c>
      <x:c r="J35" s="24" t="str">
        <x:v>Sí</x:v>
      </x:c>
      <x:c r="K35" s="24" t="str">
        <x:v>Pendiente de evaluar</x:v>
      </x:c>
      <x:c r="L35" s="24" t="str">
        <x:v>Usar tabla vigente para análisis de origen y vigilancia epidemiológica.</x:v>
      </x:c>
      <x:c r="M35" s="24" t="str">
        <x:v>Matrices de EL, reportes, diagnósticos, PVE, calificación de origen.</x:v>
      </x:c>
      <x:c r="N35" s="24" t="str"/>
      <x:c r="O35" s="37"/>
      <x:c r="P35" s="24" t="str">
        <x:v>https://www.funcionpublica.gov.co/eva/gestornormativo/</x:v>
      </x:c>
      <x:c r="Q35" s="24" t="str">
        <x:v>Verificar aplicabilidad según actividad económica, tamaño, nivel de riesgo, modalidad de trabajo y sector.</x:v>
      </x:c>
    </x:row>
    <x:row r="36" ht="39.599998474121094" hidden="0" customHeight="1">
      <x:c r="A36" s="35" t="n">
        <x:v>32</x:v>
      </x:c>
      <x:c r="B36" s="24" t="str">
        <x:v>Decreto</x:v>
      </x:c>
      <x:c r="C36" s="35" t="str">
        <x:v>1507</x:v>
      </x:c>
      <x:c r="D36" s="35" t="n">
        <x:v>2014</x:v>
      </x:c>
      <x:c r="E36" s="24" t="str">
        <x:v>Presidencia de la República</x:v>
      </x:c>
      <x:c r="F36" s="24" t="str">
        <x:v>Calificación de pérdida de capacidad</x:v>
      </x:c>
      <x:c r="G36" s="24" t="str">
        <x:v>PCL y ocupacional</x:v>
      </x:c>
      <x:c r="H36" s="24" t="str">
        <x:v>Expide el Manual Único para la Calificación de la Pérdida de Capacidad Laboral y Ocupacional.</x:v>
      </x:c>
      <x:c r="I36" s="24" t="str">
        <x:v>Vigente</x:v>
      </x:c>
      <x:c r="J36" s="24" t="str">
        <x:v>Depende</x:v>
      </x:c>
      <x:c r="K36" s="24" t="str">
        <x:v>Pendiente de evaluar</x:v>
      </x:c>
      <x:c r="L36" s="24" t="str">
        <x:v>Aplicar en procesos de PCL y calificación cuando se generen casos.</x:v>
      </x:c>
      <x:c r="M36" s="24" t="str">
        <x:v>Dictámenes, historias de caso, soportes de controversia/apelación.</x:v>
      </x:c>
      <x:c r="N36" s="24" t="str"/>
      <x:c r="O36" s="37"/>
      <x:c r="P36" s="24" t="str">
        <x:v>https://www.funcionpublica.gov.co/eva/gestornormativo/norma.php?i=58941</x:v>
      </x:c>
      <x:c r="Q36" s="24" t="str">
        <x:v>Verificar aplicabilidad según actividad económica, tamaño, nivel de riesgo, modalidad de trabajo y sector.</x:v>
      </x:c>
    </x:row>
    <x:row r="37" ht="39.599998474121094" hidden="0" customHeight="1">
      <x:c r="A37" s="35" t="n">
        <x:v>33</x:v>
      </x:c>
      <x:c r="B37" s="24" t="str">
        <x:v>Decreto</x:v>
      </x:c>
      <x:c r="C37" s="35" t="str">
        <x:v>1072</x:v>
      </x:c>
      <x:c r="D37" s="35" t="n">
        <x:v>2015</x:v>
      </x:c>
      <x:c r="E37" s="24" t="str">
        <x:v>Presidencia de la República</x:v>
      </x:c>
      <x:c r="F37" s="24" t="str">
        <x:v>SG-SST</x:v>
      </x:c>
      <x:c r="G37" s="24" t="str">
        <x:v>Decreto Único Reglamentario del Trabajo</x:v>
      </x:c>
      <x:c r="H37" s="24" t="str">
        <x:v>Compila la normatividad laboral e incorpora el capítulo del SG-SST en el Sector Trabajo.</x:v>
      </x:c>
      <x:c r="I37" s="24" t="str">
        <x:v>Vigente</x:v>
      </x:c>
      <x:c r="J37" s="24" t="str">
        <x:v>Sí</x:v>
      </x:c>
      <x:c r="K37" s="24" t="str">
        <x:v>Pendiente de evaluar</x:v>
      </x:c>
      <x:c r="L37" s="24" t="str">
        <x:v>Implementar integralmente el SG-SST: política, objetivos, plan anual, responsabilidades, evaluación, auditoría y mejora.</x:v>
      </x:c>
      <x:c r="M37" s="24" t="str">
        <x:v>Política, objetivos, evaluación inicial, plan anual, indicadores, auditoría, revisión por la dirección.</x:v>
      </x:c>
      <x:c r="N37" s="24" t="str"/>
      <x:c r="O37" s="37"/>
      <x:c r="P37" s="24" t="str">
        <x:v>https://www.funcionpublica.gov.co/eva/gestornormativo/norma.php?i=72173</x:v>
      </x:c>
      <x:c r="Q37" s="24" t="str">
        <x:v>Verificar aplicabilidad según actividad económica, tamaño, nivel de riesgo, modalidad de trabajo y sector.</x:v>
      </x:c>
    </x:row>
    <x:row r="38" ht="39.599998474121094" hidden="0" customHeight="1">
      <x:c r="A38" s="35" t="n">
        <x:v>34</x:v>
      </x:c>
      <x:c r="B38" s="24" t="str">
        <x:v>Decreto</x:v>
      </x:c>
      <x:c r="C38" s="35" t="str">
        <x:v>472</x:v>
      </x:c>
      <x:c r="D38" s="35" t="n">
        <x:v>2015</x:v>
      </x:c>
      <x:c r="E38" s="24" t="str">
        <x:v>Presidencia de la República</x:v>
      </x:c>
      <x:c r="F38" s="24" t="str">
        <x:v>Inspección, vigilancia y sanción</x:v>
      </x:c>
      <x:c r="G38" s="24" t="str">
        <x:v>Multas laborales</x:v>
      </x:c>
      <x:c r="H38" s="24" t="str">
        <x:v>Reglamenta criterios de graduación de multas y sanciones por infracción a normas de SST y laborales.</x:v>
      </x:c>
      <x:c r="I38" s="24" t="str">
        <x:v>Vigente</x:v>
      </x:c>
      <x:c r="J38" s="24" t="str">
        <x:v>Sí</x:v>
      </x:c>
      <x:c r="K38" s="24" t="str">
        <x:v>Pendiente de evaluar</x:v>
      </x:c>
      <x:c r="L38" s="24" t="str">
        <x:v>Mantener cumplimiento documental y operativo para evitar sanciones.</x:v>
      </x:c>
      <x:c r="M38" s="24" t="str">
        <x:v>Matriz legal, evidencias SG-SST, auditorías y cierre de hallazgos.</x:v>
      </x:c>
      <x:c r="N38" s="24" t="str"/>
      <x:c r="O38" s="37"/>
      <x:c r="P38" s="24" t="str">
        <x:v>https://www.funcionpublica.gov.co/eva/gestornormativo/</x:v>
      </x:c>
      <x:c r="Q38" s="24" t="str">
        <x:v>Verificar aplicabilidad según actividad económica, tamaño, nivel de riesgo, modalidad de trabajo y sector.</x:v>
      </x:c>
    </x:row>
    <x:row r="39" ht="39.599998474121094" hidden="0" customHeight="1">
      <x:c r="A39" s="35" t="n">
        <x:v>35</x:v>
      </x:c>
      <x:c r="B39" s="24" t="str">
        <x:v>Resolución</x:v>
      </x:c>
      <x:c r="C39" s="35" t="str">
        <x:v>1111</x:v>
      </x:c>
      <x:c r="D39" s="35" t="n">
        <x:v>2017</x:v>
      </x:c>
      <x:c r="E39" s="24" t="str">
        <x:v>Ministerio del Trabajo</x:v>
      </x:c>
      <x:c r="F39" s="24" t="str">
        <x:v>Estándares mínimos</x:v>
      </x:c>
      <x:c r="G39" s="24" t="str">
        <x:v>Autoevaluación y transición</x:v>
      </x:c>
      <x:c r="H39" s="24" t="str">
        <x:v>Definió estándares mínimos del SG-SST y fases de adecuación, transición y aplicación.</x:v>
      </x:c>
      <x:c r="I39" s="24" t="str">
        <x:v>Derogada por Res. 0312 de 2019</x:v>
      </x:c>
      <x:c r="J39" s="24" t="str">
        <x:v>Histórica</x:v>
      </x:c>
      <x:c r="K39" s="24" t="str">
        <x:v>Pendiente de evaluar</x:v>
      </x:c>
      <x:c r="L39" s="24" t="str">
        <x:v>Usar solo como antecedente histórico de transición.</x:v>
      </x:c>
      <x:c r="M39" s="24" t="str">
        <x:v>Histórico del proceso de implementación.</x:v>
      </x:c>
      <x:c r="N39" s="24" t="str"/>
      <x:c r="O39" s="37"/>
      <x:c r="P39" s="24" t="str">
        <x:v>https://www.funcionpublica.gov.co/eva/gestornormativo/</x:v>
      </x:c>
      <x:c r="Q39" s="24" t="str">
        <x:v>Conservar solo como antecedente histórico; no usar como referencia principal de cumplimiento actual.</x:v>
      </x:c>
    </x:row>
    <x:row r="40" ht="52.79999923706055" hidden="0" customHeight="1">
      <x:c r="A40" s="35" t="n">
        <x:v>36</x:v>
      </x:c>
      <x:c r="B40" s="24" t="str">
        <x:v>Resolución</x:v>
      </x:c>
      <x:c r="C40" s="35" t="str">
        <x:v>0312</x:v>
      </x:c>
      <x:c r="D40" s="35" t="n">
        <x:v>2019</x:v>
      </x:c>
      <x:c r="E40" s="24" t="str">
        <x:v>Ministerio del Trabajo</x:v>
      </x:c>
      <x:c r="F40" s="24" t="str">
        <x:v>Estándares mínimos</x:v>
      </x:c>
      <x:c r="G40" s="24" t="str">
        <x:v>Sistema de Gestión</x:v>
      </x:c>
      <x:c r="H40" s="24" t="str">
        <x:v>Define los estándares mínimos del SG-SST por tamaño y nivel de riesgo.</x:v>
      </x:c>
      <x:c r="I40" s="24" t="str">
        <x:v>Vigente</x:v>
      </x:c>
      <x:c r="J40" s="24" t="str">
        <x:v>Sí</x:v>
      </x:c>
      <x:c r="K40" s="24" t="str">
        <x:v>Pendiente de evaluar</x:v>
      </x:c>
      <x:c r="L40" s="24" t="str">
        <x:v>Realizar autoevaluación, plan de mejoramiento y cumplir estándares mínimos aplicables.</x:v>
      </x:c>
      <x:c r="M40" s="24" t="str">
        <x:v>Autoevaluación, plan de mejora, soportes de estándares, registro anual cuando aplique.</x:v>
      </x:c>
      <x:c r="N40" s="24" t="str"/>
      <x:c r="O40" s="37"/>
      <x:c r="P40" s="24" t="str">
        <x:v>https://www.mintrabajo.gov.co/documents/20147/59995826/Resolucion%2B0312-2019-%2BEstandares%2Bminimos%2Bdel%2BSistema%2Bde%2Bla%2BSeguridad%2By%2BSalud.pdf</x:v>
      </x:c>
      <x:c r="Q40" s="24" t="str">
        <x:v>Verificar aplicabilidad según actividad económica, tamaño, nivel de riesgo, modalidad de trabajo y sector.</x:v>
      </x:c>
    </x:row>
    <x:row r="41" ht="39.599998474121094" hidden="0" customHeight="1">
      <x:c r="A41" s="35" t="n">
        <x:v>37</x:v>
      </x:c>
      <x:c r="B41" s="24" t="str">
        <x:v>Resolución</x:v>
      </x:c>
      <x:c r="C41" s="35" t="str">
        <x:v>2404</x:v>
      </x:c>
      <x:c r="D41" s="35" t="n">
        <x:v>2019</x:v>
      </x:c>
      <x:c r="E41" s="24" t="str">
        <x:v>Ministerio del Trabajo</x:v>
      </x:c>
      <x:c r="F41" s="24" t="str">
        <x:v>Riesgo psicosocial</x:v>
      </x:c>
      <x:c r="G41" s="24" t="str">
        <x:v>Batería y protocolos</x:v>
      </x:c>
      <x:c r="H41" s="24" t="str">
        <x:v>Adopta batería de instrumentos y protocolos para prevención y actuación frente al riesgo psicosocial.</x:v>
      </x:c>
      <x:c r="I41" s="24" t="str">
        <x:v>Vigente (complementada por Res. 2764 de 2022)</x:v>
      </x:c>
      <x:c r="J41" s="24" t="str">
        <x:v>Sí</x:v>
      </x:c>
      <x:c r="K41" s="24" t="str">
        <x:v>Pendiente de evaluar</x:v>
      </x:c>
      <x:c r="L41" s="24" t="str">
        <x:v>Evaluar riesgo psicosocial con instrumentos válidos y ejecutar protocolos/intervenciones.</x:v>
      </x:c>
      <x:c r="M41" s="24" t="str">
        <x:v>Aplicación batería, informes, planes de intervención y seguimiento.</x:v>
      </x:c>
      <x:c r="N41" s="24" t="str"/>
      <x:c r="O41" s="37"/>
      <x:c r="P41" s="24" t="str">
        <x:v>https://www.funcionpublica.gov.co/eva/gestornormativo/</x:v>
      </x:c>
      <x:c r="Q41" s="24" t="str">
        <x:v>Verificar aplicabilidad según actividad económica, tamaño, nivel de riesgo, modalidad de trabajo y sector.</x:v>
      </x:c>
    </x:row>
    <x:row r="42" ht="39.599998474121094" hidden="0" customHeight="1">
      <x:c r="A42" s="35" t="n">
        <x:v>38</x:v>
      </x:c>
      <x:c r="B42" s="24" t="str">
        <x:v>Ley</x:v>
      </x:c>
      <x:c r="C42" s="35" t="str">
        <x:v>2088</x:v>
      </x:c>
      <x:c r="D42" s="35" t="n">
        <x:v>2021</x:v>
      </x:c>
      <x:c r="E42" s="24" t="str">
        <x:v>Congreso de la República</x:v>
      </x:c>
      <x:c r="F42" s="24" t="str">
        <x:v>Trabajo en casa</x:v>
      </x:c>
      <x:c r="G42" s="24" t="str">
        <x:v>Modalidad laboral</x:v>
      </x:c>
      <x:c r="H42" s="24" t="str">
        <x:v>Regula el trabajo en casa y sus efectos sobre derechos y obligaciones laborales.</x:v>
      </x:c>
      <x:c r="I42" s="24" t="str">
        <x:v>Vigente</x:v>
      </x:c>
      <x:c r="J42" s="24" t="str">
        <x:v>Depende</x:v>
      </x:c>
      <x:c r="K42" s="24" t="str">
        <x:v>Pendiente de evaluar</x:v>
      </x:c>
      <x:c r="L42" s="24" t="str">
        <x:v>Formalizar habilitación, garantizar condiciones de SST y reporte de novedades al sistema.</x:v>
      </x:c>
      <x:c r="M42" s="24" t="str">
        <x:v>Actos/otrosí, autoevaluación puesto, lineamientos SST y ARL.</x:v>
      </x:c>
      <x:c r="N42" s="24" t="str"/>
      <x:c r="O42" s="37"/>
      <x:c r="P42" s="24" t="str">
        <x:v>https://www.funcionpublica.gov.co/eva/gestornormativo/norma.php?i=162970</x:v>
      </x:c>
      <x:c r="Q42" s="24" t="str">
        <x:v>Verificar aplicabilidad según actividad económica, tamaño, nivel de riesgo, modalidad de trabajo y sector.</x:v>
      </x:c>
    </x:row>
    <x:row r="43" ht="39.599998474121094" hidden="0" customHeight="1">
      <x:c r="A43" s="35" t="n">
        <x:v>39</x:v>
      </x:c>
      <x:c r="B43" s="24" t="str">
        <x:v>Ley</x:v>
      </x:c>
      <x:c r="C43" s="35" t="str">
        <x:v>2121</x:v>
      </x:c>
      <x:c r="D43" s="35" t="n">
        <x:v>2021</x:v>
      </x:c>
      <x:c r="E43" s="24" t="str">
        <x:v>Congreso de la República</x:v>
      </x:c>
      <x:c r="F43" s="24" t="str">
        <x:v>Trabajo remoto</x:v>
      </x:c>
      <x:c r="G43" s="24" t="str">
        <x:v>Modalidad laboral</x:v>
      </x:c>
      <x:c r="H43" s="24" t="str">
        <x:v>Crea el régimen de trabajo remoto y establece normas para promoverlo y regularlo.</x:v>
      </x:c>
      <x:c r="I43" s="24" t="str">
        <x:v>Vigente</x:v>
      </x:c>
      <x:c r="J43" s="24" t="str">
        <x:v>Depende</x:v>
      </x:c>
      <x:c r="K43" s="24" t="str">
        <x:v>Pendiente de evaluar</x:v>
      </x:c>
      <x:c r="L43" s="24" t="str">
        <x:v>Definir políticas, obligaciones en SST y mecanismos de seguimiento del trabajo remoto.</x:v>
      </x:c>
      <x:c r="M43" s="24" t="str">
        <x:v>Política, acuerdos, matrices de riesgos y auto reporte de condiciones.</x:v>
      </x:c>
      <x:c r="N43" s="24" t="str"/>
      <x:c r="O43" s="37"/>
      <x:c r="P43" s="24" t="str">
        <x:v>https://www.funcionpublica.gov.co/eva/gestornormativo/norma.php?i=167966</x:v>
      </x:c>
      <x:c r="Q43" s="24" t="str">
        <x:v>Verificar aplicabilidad según actividad económica, tamaño, nivel de riesgo, modalidad de trabajo y sector.</x:v>
      </x:c>
    </x:row>
    <x:row r="44" ht="39.599998474121094" hidden="0" customHeight="1">
      <x:c r="A44" s="35" t="n">
        <x:v>40</x:v>
      </x:c>
      <x:c r="B44" s="24" t="str">
        <x:v>Resolución</x:v>
      </x:c>
      <x:c r="C44" s="35" t="str">
        <x:v>4272</x:v>
      </x:c>
      <x:c r="D44" s="35" t="n">
        <x:v>2021</x:v>
      </x:c>
      <x:c r="E44" s="24" t="str">
        <x:v>Ministerio del Trabajo</x:v>
      </x:c>
      <x:c r="F44" s="24" t="str">
        <x:v>Trabajo en alturas</x:v>
      </x:c>
      <x:c r="G44" s="24" t="str">
        <x:v>Reglamento técnico</x:v>
      </x:c>
      <x:c r="H44" s="24" t="str">
        <x:v>Establece los requisitos mínimos de seguridad para el desarrollo de trabajo en alturas.</x:v>
      </x:c>
      <x:c r="I44" s="24" t="str">
        <x:v>Vigente</x:v>
      </x:c>
      <x:c r="J44" s="24" t="str">
        <x:v>Depende</x:v>
      </x:c>
      <x:c r="K44" s="24" t="str">
        <x:v>Pendiente de evaluar</x:v>
      </x:c>
      <x:c r="L44" s="24" t="str">
        <x:v>Aplicar programa de prevención/protección contra caídas, capacitación, rescate y permisos cuando aplique.</x:v>
      </x:c>
      <x:c r="M44" s="24" t="str">
        <x:v>Programa de alturas, certificados, inspecciones, permisos, hojas de vida equipos.</x:v>
      </x:c>
      <x:c r="N44" s="24" t="str"/>
      <x:c r="O44" s="37"/>
      <x:c r="P44" s="24" t="str">
        <x:v>https://www.funcionpublica.gov.co/eva/gestornormativo/</x:v>
      </x:c>
      <x:c r="Q44" s="24" t="str">
        <x:v>Verificar aplicabilidad según actividad económica, tamaño, nivel de riesgo, modalidad de trabajo y sector.</x:v>
      </x:c>
    </x:row>
    <x:row r="45" ht="39.599998474121094" hidden="0" customHeight="1">
      <x:c r="A45" s="35" t="n">
        <x:v>41</x:v>
      </x:c>
      <x:c r="B45" s="24" t="str">
        <x:v>Decreto</x:v>
      </x:c>
      <x:c r="C45" s="35" t="str">
        <x:v>1347</x:v>
      </x:c>
      <x:c r="D45" s="35" t="n">
        <x:v>2021</x:v>
      </x:c>
      <x:c r="E45" s="24" t="str">
        <x:v>Presidencia de la República</x:v>
      </x:c>
      <x:c r="F45" s="24" t="str">
        <x:v>Registro anual</x:v>
      </x:c>
      <x:c r="G45" s="24" t="str">
        <x:v>Estándares mínimos y SGRL</x:v>
      </x:c>
      <x:c r="H45" s="24" t="str">
        <x:v>Adiciona/reglamenta el registro anual de autoevaluaciones y planes de mejoramiento de estándares mínimos del SG-SST.</x:v>
      </x:c>
      <x:c r="I45" s="24" t="str">
        <x:v>Vigente</x:v>
      </x:c>
      <x:c r="J45" s="24" t="str">
        <x:v>Depende</x:v>
      </x:c>
      <x:c r="K45" s="24" t="str">
        <x:v>Pendiente de evaluar</x:v>
      </x:c>
      <x:c r="L45" s="24" t="str">
        <x:v>Registrar autoevaluación de estándares mínimos y planes de mejora cuando la norma lo exija.</x:v>
      </x:c>
      <x:c r="M45" s="24" t="str">
        <x:v>Constancias de registro, autoevaluación, plan de mejora.</x:v>
      </x:c>
      <x:c r="N45" s="24" t="str"/>
      <x:c r="O45" s="37"/>
      <x:c r="P45" s="24" t="str">
        <x:v>https://www.funcionpublica.gov.co/eva/gestornormativo/norma.php?i=173043</x:v>
      </x:c>
      <x:c r="Q45" s="24" t="str">
        <x:v>Verificar aplicabilidad según actividad económica, tamaño, nivel de riesgo, modalidad de trabajo y sector.</x:v>
      </x:c>
    </x:row>
    <x:row r="46" ht="39.599998474121094" hidden="0" customHeight="1">
      <x:c r="A46" s="35" t="n">
        <x:v>42</x:v>
      </x:c>
      <x:c r="B46" s="24" t="str">
        <x:v>Ley</x:v>
      </x:c>
      <x:c r="C46" s="35" t="str">
        <x:v>2191</x:v>
      </x:c>
      <x:c r="D46" s="35" t="n">
        <x:v>2022</x:v>
      </x:c>
      <x:c r="E46" s="24" t="str">
        <x:v>Congreso de la República</x:v>
      </x:c>
      <x:c r="F46" s="24" t="str">
        <x:v>Bienestar psicosocial</x:v>
      </x:c>
      <x:c r="G46" s="24" t="str">
        <x:v>Desconexión laboral</x:v>
      </x:c>
      <x:c r="H46" s="24" t="str">
        <x:v>Regula la desconexión laboral.</x:v>
      </x:c>
      <x:c r="I46" s="24" t="str">
        <x:v>Vigente</x:v>
      </x:c>
      <x:c r="J46" s="24" t="str">
        <x:v>Sí</x:v>
      </x:c>
      <x:c r="K46" s="24" t="str">
        <x:v>Pendiente de evaluar</x:v>
      </x:c>
      <x:c r="L46" s="24" t="str">
        <x:v>Adoptar política/mecanismos para garantizar desconexión laboral y prevenir afectaciones psicosociales.</x:v>
      </x:c>
      <x:c r="M46" s="24" t="str">
        <x:v>Política de desconexión, comunicaciones, campañas, evidencias disciplinarias.</x:v>
      </x:c>
      <x:c r="N46" s="24" t="str"/>
      <x:c r="O46" s="37"/>
      <x:c r="P46" s="24" t="str">
        <x:v>https://www.funcionpublica.gov.co/eva/gestornormativo/norma.php?i=177586</x:v>
      </x:c>
      <x:c r="Q46" s="24" t="str">
        <x:v>Verificar aplicabilidad según actividad económica, tamaño, nivel de riesgo, modalidad de trabajo y sector.</x:v>
      </x:c>
    </x:row>
    <x:row r="47" ht="39.599998474121094" hidden="0" customHeight="1">
      <x:c r="A47" s="35" t="n">
        <x:v>43</x:v>
      </x:c>
      <x:c r="B47" s="24" t="str">
        <x:v>Decreto</x:v>
      </x:c>
      <x:c r="C47" s="35" t="str">
        <x:v>555</x:v>
      </x:c>
      <x:c r="D47" s="35" t="n">
        <x:v>2022</x:v>
      </x:c>
      <x:c r="E47" s="24" t="str">
        <x:v>Presidencia de la República</x:v>
      </x:c>
      <x:c r="F47" s="24" t="str">
        <x:v>Trabajo remoto</x:v>
      </x:c>
      <x:c r="G47" s="24" t="str">
        <x:v>Reglamentación</x:v>
      </x:c>
      <x:c r="H47" s="24" t="str">
        <x:v>Reglamenta la Ley 2121 de 2021 y regula el trabajo remoto.</x:v>
      </x:c>
      <x:c r="I47" s="24" t="str">
        <x:v>Vigente</x:v>
      </x:c>
      <x:c r="J47" s="24" t="str">
        <x:v>Depende</x:v>
      </x:c>
      <x:c r="K47" s="24" t="str">
        <x:v>Pendiente de evaluar</x:v>
      </x:c>
      <x:c r="L47" s="24" t="str">
        <x:v>Desarrollar procedimientos y controles para trabajo remoto incluyendo SST.</x:v>
      </x:c>
      <x:c r="M47" s="24" t="str">
        <x:v>Acuerdos, autoevaluaciones, inducción, seguimiento y reporte a ARL.</x:v>
      </x:c>
      <x:c r="N47" s="24" t="str"/>
      <x:c r="O47" s="37"/>
      <x:c r="P47" s="24" t="str">
        <x:v>https://www.funcionpublica.gov.co/eva/gestornormativo/norma.php?i=185306</x:v>
      </x:c>
      <x:c r="Q47" s="24" t="str">
        <x:v>Verificar aplicabilidad según actividad económica, tamaño, nivel de riesgo, modalidad de trabajo y sector.</x:v>
      </x:c>
    </x:row>
    <x:row r="48" ht="39.599998474121094" hidden="0" customHeight="1">
      <x:c r="A48" s="35" t="n">
        <x:v>44</x:v>
      </x:c>
      <x:c r="B48" s="24" t="str">
        <x:v>Decreto</x:v>
      </x:c>
      <x:c r="C48" s="35" t="str">
        <x:v>649</x:v>
      </x:c>
      <x:c r="D48" s="35" t="n">
        <x:v>2022</x:v>
      </x:c>
      <x:c r="E48" s="24" t="str">
        <x:v>Presidencia de la República</x:v>
      </x:c>
      <x:c r="F48" s="24" t="str">
        <x:v>Trabajo en casa</x:v>
      </x:c>
      <x:c r="G48" s="24" t="str">
        <x:v>Reglamentación</x:v>
      </x:c>
      <x:c r="H48" s="24" t="str">
        <x:v>Reglamenta la Ley 2088 de 2021 sobre trabajo en casa.</x:v>
      </x:c>
      <x:c r="I48" s="24" t="str">
        <x:v>Vigente</x:v>
      </x:c>
      <x:c r="J48" s="24" t="str">
        <x:v>Depende</x:v>
      </x:c>
      <x:c r="K48" s="24" t="str">
        <x:v>Pendiente de evaluar</x:v>
      </x:c>
      <x:c r="L48" s="24" t="str">
        <x:v>Formalizar habilitación temporal y condiciones de SST/ARL en trabajo en casa.</x:v>
      </x:c>
      <x:c r="M48" s="24" t="str">
        <x:v>Acto de habilitación, recomendaciones ergonómicas, auto reportes.</x:v>
      </x:c>
      <x:c r="N48" s="24" t="str"/>
      <x:c r="O48" s="37"/>
      <x:c r="P48" s="24" t="str">
        <x:v>https://www.funcionpublica.gov.co/eva/gestornormativo/norma.php?i=186048</x:v>
      </x:c>
      <x:c r="Q48" s="24" t="str">
        <x:v>Verificar aplicabilidad según actividad económica, tamaño, nivel de riesgo, modalidad de trabajo y sector.</x:v>
      </x:c>
    </x:row>
    <x:row r="49" ht="39.599998474121094" hidden="0" customHeight="1">
      <x:c r="A49" s="35" t="n">
        <x:v>45</x:v>
      </x:c>
      <x:c r="B49" s="24" t="str">
        <x:v>Decreto</x:v>
      </x:c>
      <x:c r="C49" s="35" t="str">
        <x:v>1227</x:v>
      </x:c>
      <x:c r="D49" s="35" t="n">
        <x:v>2022</x:v>
      </x:c>
      <x:c r="E49" s="24" t="str">
        <x:v>Presidencia de la República</x:v>
      </x:c>
      <x:c r="F49" s="24" t="str">
        <x:v>Teletrabajo</x:v>
      </x:c>
      <x:c r="G49" s="24" t="str">
        <x:v>Actualización reglamentaria</x:v>
      </x:c>
      <x:c r="H49" s="24" t="str">
        <x:v>Modifica y adiciona disposiciones sobre teletrabajo en el Decreto 1072 de 2015.</x:v>
      </x:c>
      <x:c r="I49" s="24" t="str">
        <x:v>Vigente</x:v>
      </x:c>
      <x:c r="J49" s="24" t="str">
        <x:v>Depende</x:v>
      </x:c>
      <x:c r="K49" s="24" t="str">
        <x:v>Pendiente de evaluar</x:v>
      </x:c>
      <x:c r="L49" s="24" t="str">
        <x:v>Actualizar política de teletrabajo, modalidades y reporte de cambios de domicilio/puesto.</x:v>
      </x:c>
      <x:c r="M49" s="24" t="str">
        <x:v>Política actualizada, acuerdos, visitas o autoevaluaciones, reporte a ARL.</x:v>
      </x:c>
      <x:c r="N49" s="24" t="str"/>
      <x:c r="O49" s="37"/>
      <x:c r="P49" s="24" t="str">
        <x:v>https://www.funcionpublica.gov.co/eva/gestornormativo/norma.php?i=190935</x:v>
      </x:c>
      <x:c r="Q49" s="24" t="str">
        <x:v>Verificar aplicabilidad según actividad económica, tamaño, nivel de riesgo, modalidad de trabajo y sector.</x:v>
      </x:c>
    </x:row>
    <x:row r="50" ht="39.599998474121094" hidden="0" customHeight="1">
      <x:c r="A50" s="35" t="n">
        <x:v>46</x:v>
      </x:c>
      <x:c r="B50" s="24" t="str">
        <x:v>Resolución</x:v>
      </x:c>
      <x:c r="C50" s="35" t="str">
        <x:v>2764</x:v>
      </x:c>
      <x:c r="D50" s="35" t="n">
        <x:v>2022</x:v>
      </x:c>
      <x:c r="E50" s="24" t="str">
        <x:v>Ministerio del Trabajo</x:v>
      </x:c>
      <x:c r="F50" s="24" t="str">
        <x:v>Riesgo psicosocial</x:v>
      </x:c>
      <x:c r="G50" s="24" t="str">
        <x:v>Batería y guías</x:v>
      </x:c>
      <x:c r="H50" s="24" t="str">
        <x:v>Adopta la batería de instrumentos para evaluación de factores de riesgo psicosocial, guía técnica general y protocolos específicos.</x:v>
      </x:c>
      <x:c r="I50" s="24" t="str">
        <x:v>Vigente</x:v>
      </x:c>
      <x:c r="J50" s="24" t="str">
        <x:v>Sí</x:v>
      </x:c>
      <x:c r="K50" s="24" t="str">
        <x:v>Pendiente de evaluar</x:v>
      </x:c>
      <x:c r="L50" s="24" t="str">
        <x:v>Aplicar batería/guías actualizadas y ejecutar planes de intervención.</x:v>
      </x:c>
      <x:c r="M50" s="24" t="str">
        <x:v>Aplicaciones, informes, planes y seguimiento psicosocial.</x:v>
      </x:c>
      <x:c r="N50" s="24" t="str"/>
      <x:c r="O50" s="37"/>
      <x:c r="P50" s="24" t="str">
        <x:v>https://www.funcionpublica.gov.co/eva/gestornormativo/</x:v>
      </x:c>
      <x:c r="Q50" s="24" t="str">
        <x:v>Verificar aplicabilidad según actividad económica, tamaño, nivel de riesgo, modalidad de trabajo y sector.</x:v>
      </x:c>
    </x:row>
    <x:row r="51" ht="39.599998474121094" hidden="0" customHeight="1">
      <x:c r="A51" s="35" t="n">
        <x:v>47</x:v>
      </x:c>
      <x:c r="B51" s="24" t="str">
        <x:v>Resolución</x:v>
      </x:c>
      <x:c r="C51" s="35" t="str">
        <x:v>3077</x:v>
      </x:c>
      <x:c r="D51" s="35" t="n">
        <x:v>2022</x:v>
      </x:c>
      <x:c r="E51" s="24" t="str">
        <x:v>Ministerio del Trabajo</x:v>
      </x:c>
      <x:c r="F51" s="24" t="str">
        <x:v>Plan nacional SST</x:v>
      </x:c>
      <x:c r="G51" s="24" t="str">
        <x:v>Planeación sectorial</x:v>
      </x:c>
      <x:c r="H51" s="24" t="str">
        <x:v>Adopta el Plan Nacional de Seguridad y Salud en el Trabajo 2022-2031.</x:v>
      </x:c>
      <x:c r="I51" s="24" t="str">
        <x:v>Vigente</x:v>
      </x:c>
      <x:c r="J51" s="24" t="str">
        <x:v>Referencia</x:v>
      </x:c>
      <x:c r="K51" s="24" t="str">
        <x:v>Pendiente de evaluar</x:v>
      </x:c>
      <x:c r="L51" s="24" t="str">
        <x:v>Tomar como marco de referencia para alinear programas y prioridades estratégicas.</x:v>
      </x:c>
      <x:c r="M51" s="24" t="str">
        <x:v>Planes institucionales, programas, indicadores alineados.</x:v>
      </x:c>
      <x:c r="N51" s="24" t="str"/>
      <x:c r="O51" s="37"/>
      <x:c r="P51" s="24" t="str">
        <x:v>https://www.alcaldiabogota.gov.co/sisjur/normas/Norma1.jsp?i=127102</x:v>
      </x:c>
      <x:c r="Q51" s="24" t="str">
        <x:v>Verificar aplicabilidad según actividad económica, tamaño, nivel de riesgo, modalidad de trabajo y sector.</x:v>
      </x:c>
    </x:row>
    <x:row r="52" ht="39.599998474121094" hidden="0" customHeight="1">
      <x:c r="A52" s="35" t="n">
        <x:v>48</x:v>
      </x:c>
      <x:c r="B52" s="24" t="str">
        <x:v>Ley</x:v>
      </x:c>
      <x:c r="C52" s="35" t="str">
        <x:v>2365</x:v>
      </x:c>
      <x:c r="D52" s="35" t="n">
        <x:v>2024</x:v>
      </x:c>
      <x:c r="E52" s="24" t="str">
        <x:v>Congreso de la República</x:v>
      </x:c>
      <x:c r="F52" s="24" t="str">
        <x:v>Convivencia y protección</x:v>
      </x:c>
      <x:c r="G52" s="24" t="str">
        <x:v>Acoso sexual en ámbito laboral</x:v>
      </x:c>
      <x:c r="H52" s="24" t="str">
        <x:v>Adopta medidas de prevención, protección y atención del acoso sexual en el ámbito laboral.</x:v>
      </x:c>
      <x:c r="I52" s="24" t="str">
        <x:v>Vigente</x:v>
      </x:c>
      <x:c r="J52" s="24" t="str">
        <x:v>Sí</x:v>
      </x:c>
      <x:c r="K52" s="24" t="str">
        <x:v>Pendiente de evaluar</x:v>
      </x:c>
      <x:c r="L52" s="24" t="str">
        <x:v>Crear/actualizar protocolos, rutas de atención, medidas preventivas y protección contra retaliación.</x:v>
      </x:c>
      <x:c r="M52" s="24" t="str">
        <x:v>Protocolo de acoso sexual, ruta de queja, evidencias de divulgación y formación.</x:v>
      </x:c>
      <x:c r="N52" s="24" t="str"/>
      <x:c r="O52" s="37"/>
      <x:c r="P52" s="24" t="str">
        <x:v>https://www.funcionpublica.gov.co/eva/gestornormativo/norma.php?i=244636</x:v>
      </x:c>
      <x:c r="Q52" s="24" t="str">
        <x:v>Verificar aplicabilidad según actividad económica, tamaño, nivel de riesgo, modalidad de trabajo y sector.</x:v>
      </x:c>
    </x:row>
    <x:row r="53" ht="39.599998474121094" hidden="0" customHeight="1">
      <x:c r="A53" s="35" t="n">
        <x:v>49</x:v>
      </x:c>
      <x:c r="B53" s="24" t="str">
        <x:v>Resolución</x:v>
      </x:c>
      <x:c r="C53" s="35" t="str">
        <x:v>5137</x:v>
      </x:c>
      <x:c r="D53" s="35" t="n">
        <x:v>2024</x:v>
      </x:c>
      <x:c r="E53" s="24" t="str">
        <x:v>Ministerio del Trabajo</x:v>
      </x:c>
      <x:c r="F53" s="24" t="str">
        <x:v>Plan nacional SST</x:v>
      </x:c>
      <x:c r="G53" s="24" t="str">
        <x:v>Adenda 2022-2031</x:v>
      </x:c>
      <x:c r="H53" s="24" t="str">
        <x:v>Adopta una adenda al Plan Nacional de Seguridad y Salud en el Trabajo 2022-2031.</x:v>
      </x:c>
      <x:c r="I53" s="24" t="str">
        <x:v>Vigente</x:v>
      </x:c>
      <x:c r="J53" s="24" t="str">
        <x:v>Referencia</x:v>
      </x:c>
      <x:c r="K53" s="24" t="str">
        <x:v>Pendiente de evaluar</x:v>
      </x:c>
      <x:c r="L53" s="24" t="str">
        <x:v>Alinear mejoras del sistema con las líneas operativas y actividades actualizadas del plan nacional.</x:v>
      </x:c>
      <x:c r="M53" s="24" t="str">
        <x:v>Planes internos, objetivos y programas ajustados.</x:v>
      </x:c>
      <x:c r="N53" s="24" t="str"/>
      <x:c r="O53" s="37"/>
      <x:c r="P53" s="24" t="str">
        <x:v>https://www.mintrabajo.gov.co/documents/20147/78988759/5137.pdf/64759056-c5e2-4ab4-60bc-766707e230d9</x:v>
      </x:c>
      <x:c r="Q53" s="24" t="str">
        <x:v>Verificar aplicabilidad según actividad económica, tamaño, nivel de riesgo, modalidad de trabajo y sector.</x:v>
      </x:c>
    </x:row>
    <x:row r="54" ht="39.599998474121094" hidden="0" customHeight="1">
      <x:c r="A54" s="35" t="n">
        <x:v>50</x:v>
      </x:c>
      <x:c r="B54" s="24" t="str">
        <x:v>Decreto</x:v>
      </x:c>
      <x:c r="C54" s="35" t="str">
        <x:v>405</x:v>
      </x:c>
      <x:c r="D54" s="35" t="n">
        <x:v>2025</x:v>
      </x:c>
      <x:c r="E54" s="24" t="str">
        <x:v>Presidencia de la República</x:v>
      </x:c>
      <x:c r="F54" s="24" t="str">
        <x:v>Convivencia y protección</x:v>
      </x:c>
      <x:c r="G54" s="24" t="str">
        <x:v>Reglamentación Ley 2365</x:v>
      </x:c>
      <x:c r="H54" s="24" t="str">
        <x:v>Adiciona capítulo al Decreto 1072 de 2015 para reglamentar medidas relacionadas con acoso sexual en el contexto laboral.</x:v>
      </x:c>
      <x:c r="I54" s="24" t="str">
        <x:v>Vigente</x:v>
      </x:c>
      <x:c r="J54" s="24" t="str">
        <x:v>Sí</x:v>
      </x:c>
      <x:c r="K54" s="24" t="str">
        <x:v>Pendiente de evaluar</x:v>
      </x:c>
      <x:c r="L54" s="24" t="str">
        <x:v>Ajustar protocolos y rutas conforme a la reglamentación de la Ley 2365 de 2024.</x:v>
      </x:c>
      <x:c r="M54" s="24" t="str">
        <x:v>Protocolos, actos internos, evidencias de difusión y atención.</x:v>
      </x:c>
      <x:c r="N54" s="24" t="str"/>
      <x:c r="O54" s="37"/>
      <x:c r="P54" s="24" t="str">
        <x:v>https://www.funcionpublica.gov.co/eva/gestornormativo/norma.php?i=259517</x:v>
      </x:c>
      <x:c r="Q54" s="24" t="str">
        <x:v>Verificar aplicabilidad según actividad económica, tamaño, nivel de riesgo, modalidad de trabajo y sector.</x:v>
      </x:c>
    </x:row>
    <x:row r="55" ht="39.599998474121094" hidden="0" customHeight="1">
      <x:c r="A55" s="35" t="n">
        <x:v>51</x:v>
      </x:c>
      <x:c r="B55" s="24" t="str">
        <x:v>Resolución</x:v>
      </x:c>
      <x:c r="C55" s="35" t="str">
        <x:v>1843</x:v>
      </x:c>
      <x:c r="D55" s="35" t="n">
        <x:v>2025</x:v>
      </x:c>
      <x:c r="E55" s="24" t="str">
        <x:v>Ministerio del Trabajo</x:v>
      </x:c>
      <x:c r="F55" s="24" t="str">
        <x:v>Medicina del trabajo</x:v>
      </x:c>
      <x:c r="G55" s="24" t="str">
        <x:v>Evaluaciones médicas ocupacionales</x:v>
      </x:c>
      <x:c r="H55" s="24" t="str">
        <x:v>Regula la práctica de evaluaciones médicas ocupacionales y dicta otras disposiciones.</x:v>
      </x:c>
      <x:c r="I55" s="24" t="str">
        <x:v>Vigente</x:v>
      </x:c>
      <x:c r="J55" s="24" t="str">
        <x:v>Sí</x:v>
      </x:c>
      <x:c r="K55" s="24" t="str">
        <x:v>Pendiente de evaluar</x:v>
      </x:c>
      <x:c r="L55" s="24" t="str">
        <x:v>Actualizar procedimiento de EMO, contenidos de historias clínicas ocupacionales y periodicidades/alcances según la norma.</x:v>
      </x:c>
      <x:c r="M55" s="24" t="str">
        <x:v>Procedimiento EMO, formatos, contratos con IPS, historias clínicas ocupacionales.</x:v>
      </x:c>
      <x:c r="N55" s="24" t="str"/>
      <x:c r="O55" s="37"/>
      <x:c r="P55" s="24" t="str">
        <x:v>https://www.mintrabajo.gov.co/documents/20147/0/1843.pdf/732c9233-fa98-7055-394e-3bccb54567e4?t=1746725323666</x:v>
      </x:c>
      <x:c r="Q55" s="24" t="str">
        <x:v>Verificar aplicabilidad según actividad económica, tamaño, nivel de riesgo, modalidad de trabajo y sector.</x:v>
      </x:c>
    </x:row>
    <x:row r="56" ht="39.599998474121094" hidden="0" customHeight="1">
      <x:c r="A56" s="35" t="n">
        <x:v>52</x:v>
      </x:c>
      <x:c r="B56" s="24" t="str">
        <x:v>Ley</x:v>
      </x:c>
      <x:c r="C56" s="35" t="str">
        <x:v>2460</x:v>
      </x:c>
      <x:c r="D56" s="35" t="n">
        <x:v>2025</x:v>
      </x:c>
      <x:c r="E56" s="24" t="str">
        <x:v>Congreso de la República</x:v>
      </x:c>
      <x:c r="F56" s="24" t="str">
        <x:v>Salud mental</x:v>
      </x:c>
      <x:c r="G56" s="24" t="str">
        <x:v>Promoción y cuidado</x:v>
      </x:c>
      <x:c r="H56" s="24" t="str">
        <x:v>Modifica la Ley 1616 de 2013 y fortalece medidas de promoción y cuidado de la salud mental.</x:v>
      </x:c>
      <x:c r="I56" s="24" t="str">
        <x:v>Vigente</x:v>
      </x:c>
      <x:c r="J56" s="24" t="str">
        <x:v>Sí</x:v>
      </x:c>
      <x:c r="K56" s="24" t="str">
        <x:v>Pendiente de evaluar</x:v>
      </x:c>
      <x:c r="L56" s="24" t="str">
        <x:v>Fortalecer medidas de promoción, prevención y atención de salud mental en el trabajo.</x:v>
      </x:c>
      <x:c r="M56" s="24" t="str">
        <x:v>Programas psicosociales, rutas de atención, campañas, PVE.</x:v>
      </x:c>
      <x:c r="N56" s="24" t="str"/>
      <x:c r="O56" s="37"/>
      <x:c r="P56" s="24" t="str">
        <x:v>https://www.funcionpublica.gov.co/eva/gestornormativo/norma.php?i=260636</x:v>
      </x:c>
      <x:c r="Q56" s="24" t="str">
        <x:v>Verificar aplicabilidad según actividad económica, tamaño, nivel de riesgo, modalidad de trabajo y sector.</x:v>
      </x:c>
    </x:row>
    <x:row r="57" ht="39.599998474121094" hidden="0" customHeight="1">
      <x:c r="A57" s="35" t="n">
        <x:v>53</x:v>
      </x:c>
      <x:c r="B57" s="24" t="str">
        <x:v>Ley</x:v>
      </x:c>
      <x:c r="C57" s="35" t="str">
        <x:v>2466</x:v>
      </x:c>
      <x:c r="D57" s="35" t="n">
        <x:v>2025</x:v>
      </x:c>
      <x:c r="E57" s="24" t="str">
        <x:v>Congreso de la República</x:v>
      </x:c>
      <x:c r="F57" s="24" t="str">
        <x:v>Reforma laboral</x:v>
      </x:c>
      <x:c r="G57" s="24" t="str">
        <x:v>Trabajo decente y digno</x:v>
      </x:c>
      <x:c r="H57" s="24" t="str">
        <x:v>Modifica parcialmente normas laborales; puede impactar políticas internas, convivencia y gestión humana asociadas a SST.</x:v>
      </x:c>
      <x:c r="I57" s="24" t="str">
        <x:v>Vigente</x:v>
      </x:c>
      <x:c r="J57" s="24" t="str">
        <x:v>Depende</x:v>
      </x:c>
      <x:c r="K57" s="24" t="str">
        <x:v>Pendiente de evaluar</x:v>
      </x:c>
      <x:c r="L57" s="24" t="str">
        <x:v>Revisar impactos en reglamento interno, jornadas, descansos y gestión humana articulada con SST.</x:v>
      </x:c>
      <x:c r="M57" s="24" t="str">
        <x:v>Matriz de actualización normativa y ajustes documentales.</x:v>
      </x:c>
      <x:c r="N57" s="24" t="str"/>
      <x:c r="O57" s="37"/>
      <x:c r="P57" s="24" t="str">
        <x:v>https://www.funcionpublica.gov.co/eva/gestornormativo/norma.php?i=260676</x:v>
      </x:c>
      <x:c r="Q57" s="24" t="str">
        <x:v>Verificar aplicabilidad según actividad económica, tamaño, nivel de riesgo, modalidad de trabajo y sector.</x:v>
      </x:c>
    </x:row>
    <x:row r="58" ht="39.599998474121094" hidden="0" customHeight="1">
      <x:c r="A58" s="35" t="n">
        <x:v>54</x:v>
      </x:c>
      <x:c r="B58" s="24" t="str">
        <x:v>Resolución</x:v>
      </x:c>
      <x:c r="C58" s="35" t="str">
        <x:v>3461</x:v>
      </x:c>
      <x:c r="D58" s="35" t="n">
        <x:v>2025</x:v>
      </x:c>
      <x:c r="E58" s="24" t="str">
        <x:v>Ministerio del Trabajo</x:v>
      </x:c>
      <x:c r="F58" s="24" t="str">
        <x:v>Convivencia laboral</x:v>
      </x:c>
      <x:c r="G58" s="24" t="str">
        <x:v>Nuevo Comité de Convivencia</x:v>
      </x:c>
      <x:c r="H58" s="24" t="str">
        <x:v>Define conformación y funcionamiento del Comité de Convivencia Laboral y deroga las Resoluciones 652 y 1356 de 2012.</x:v>
      </x:c>
      <x:c r="I58" s="24" t="str">
        <x:v>Vigente</x:v>
      </x:c>
      <x:c r="J58" s="24" t="str">
        <x:v>Sí</x:v>
      </x:c>
      <x:c r="K58" s="24" t="str">
        <x:v>Pendiente de evaluar</x:v>
      </x:c>
      <x:c r="L58" s="24" t="str">
        <x:v>Actualizar procedimiento, elección/designación, actas y ruta preventiva/correctiva del CCL.</x:v>
      </x:c>
      <x:c r="M58" s="24" t="str">
        <x:v>Resolución de conformación, cronograma, actas, procedimiento y comunicaciones.</x:v>
      </x:c>
      <x:c r="N58" s="24" t="str"/>
      <x:c r="O58" s="37"/>
      <x:c r="P58" s="24" t="str">
        <x:v>https://www.funcionpublica.gov.co/eva/gestornormativo/norma.php?i=262916</x:v>
      </x:c>
      <x:c r="Q58" s="24" t="str">
        <x:v>Verificar aplicabilidad según actividad económica, tamaño, nivel de riesgo, modalidad de trabajo y sector.</x:v>
      </x:c>
    </x:row>
    <x:row r="59" ht="39.599998474121094" hidden="0" customHeight="1">
      <x:c r="A59" s="35" t="n">
        <x:v>55</x:v>
      </x:c>
      <x:c r="B59" s="24" t="str">
        <x:v>Resolución</x:v>
      </x:c>
      <x:c r="C59" s="35" t="str">
        <x:v>908</x:v>
      </x:c>
      <x:c r="D59" s="35" t="n">
        <x:v>2025</x:v>
      </x:c>
      <x:c r="E59" s="24" t="str">
        <x:v>Ministerio de Salud y Protección Social</x:v>
      </x:c>
      <x:c r="F59" s="24" t="str">
        <x:v>Licencias SST</x:v>
      </x:c>
      <x:c r="G59" s="24" t="str">
        <x:v>Expedición, renovación y cambios</x:v>
      </x:c>
      <x:c r="H59" s="24" t="str">
        <x:v>Establece requisitos y procedimiento para expedición, renovación y cambios de la licencia de Seguridad y Salud en el Trabajo.</x:v>
      </x:c>
      <x:c r="I59" s="24" t="str">
        <x:v>Vigente</x:v>
      </x:c>
      <x:c r="J59" s="24" t="str">
        <x:v>Depende</x:v>
      </x:c>
      <x:c r="K59" s="24" t="str">
        <x:v>Pendiente de evaluar</x:v>
      </x:c>
      <x:c r="L59" s="24" t="str">
        <x:v>Verificar vigencia y alcance de licencias SST de personas naturales/jurídicas prestadoras de servicios SST.</x:v>
      </x:c>
      <x:c r="M59" s="24" t="str">
        <x:v>Licencias SST, contratos, soportes de renovación/cambio.</x:v>
      </x:c>
      <x:c r="N59" s="24" t="str"/>
      <x:c r="O59" s="37"/>
      <x:c r="P59" s="24" t="str">
        <x:v>https://www.minsalud.gov.co/sites/rid/Lists/BibliotecaDigital/RIDE/DE/DIJ/resolucion-0908-de-2025.pdf</x:v>
      </x:c>
      <x:c r="Q59" s="24" t="str">
        <x:v>Verificar aplicabilidad según actividad económica, tamaño, nivel de riesgo, modalidad de trabajo y sector.</x:v>
      </x:c>
    </x:row>
    <x:row r="60" ht="52.79999923706055" hidden="0" customHeight="1">
      <x:c r="A60" s="35" t="n">
        <x:v>56</x:v>
      </x:c>
      <x:c r="B60" s="24" t="str">
        <x:v>Decreto</x:v>
      </x:c>
      <x:c r="C60" s="35" t="str">
        <x:v>728</x:v>
      </x:c>
      <x:c r="D60" s="35" t="n">
        <x:v>2025</x:v>
      </x:c>
      <x:c r="E60" s="24" t="str">
        <x:v>Presidencia de la República</x:v>
      </x:c>
      <x:c r="F60" s="24" t="str">
        <x:v>Salud mental y SPA en el trabajo</x:v>
      </x:c>
      <x:c r="G60" s="24" t="str">
        <x:v>Promoción y prevención</x:v>
      </x:c>
      <x:c r="H60" s="24" t="str">
        <x:v>Adiciona capítulo al Decreto 1072 de 2015 para establecer acciones de promoción de salud mental, prevención de problemas/trastornos mentales y consumo de SPA en el ámbito laboral.</x:v>
      </x:c>
      <x:c r="I60" s="24" t="str">
        <x:v>Vigente</x:v>
      </x:c>
      <x:c r="J60" s="24" t="str">
        <x:v>Sí</x:v>
      </x:c>
      <x:c r="K60" s="24" t="str">
        <x:v>Pendiente de evaluar</x:v>
      </x:c>
      <x:c r="L60" s="24" t="str">
        <x:v>Desarrollar acciones de promoción, prevención e intervención articuladas al riesgo psicosocial.</x:v>
      </x:c>
      <x:c r="M60" s="24" t="str">
        <x:v>Programas de salud mental, PVE psicosocial, campañas, protocolos y registros.</x:v>
      </x:c>
      <x:c r="N60" s="24" t="str"/>
      <x:c r="O60" s="37"/>
      <x:c r="P60" s="24" t="str">
        <x:v>https://www.alcaldiabogota.gov.co/sisjur/normas/Norma1.jsp?i=183733</x:v>
      </x:c>
      <x:c r="Q60" s="24" t="str">
        <x:v>Verificar aplicabilidad según actividad económica, tamaño, nivel de riesgo, modalidad de trabajo y sector.</x:v>
      </x:c>
    </x:row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Q1"/>
    <x:mergeCell ref="A2:Q2"/>
  </x:mergeCells>
  <x:conditionalFormatting sqref="I5:I60">
    <x:cfRule type="expression" dxfId="0" priority="1">
      <x:formula>ISNUMBER(SEARCH("Vigente",I5))</x:formula>
    </x:cfRule>
    <x:cfRule type="expression" dxfId="1" priority="2">
      <x:formula>ISNUMBER(SEARCH("Derogada",I5))</x:formula>
    </x:cfRule>
    <x:cfRule type="expression" dxfId="2" priority="3">
      <x:formula>ISNUMBER(SEARCH("Histórica",I5))</x:formula>
    </x:cfRule>
  </x:conditionalFormatting>
  <x:conditionalFormatting sqref="K5:K60">
    <x:cfRule type="expression" dxfId="3" priority="4">
      <x:formula>K5="Sí"</x:formula>
    </x:cfRule>
    <x:cfRule type="expression" dxfId="4" priority="5">
      <x:formula>K5="Parcial"</x:formula>
    </x:cfRule>
    <x:cfRule type="expression" dxfId="5" priority="6">
      <x:formula>K5="No"</x:formula>
    </x:cfRule>
    <x:cfRule type="expression" dxfId="6" priority="7">
      <x:formula>K5="Pendiente de evaluar"</x:formula>
    </x:cfRule>
  </x:conditionalFormatting>
  <x:dataValidations count="3">
    <x:dataValidation type="list" sqref="J5:J60">
      <x:formula1>Catalogos!$C$4:$C$7</x:formula1>
    </x:dataValidation>
    <x:dataValidation type="list" sqref="K5:K60">
      <x:formula1>Catalogos!$D$4:$D$8</x:formula1>
    </x:dataValidation>
    <x:dataValidation type="list" sqref="B5:B60">
      <x:formula1>Catalogos!$A$4:$A$10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6c658b87454d9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4" hidden="0" customWidth="1"/>
    <x:col min="4" max="4" width="18" hidden="0" customWidth="1"/>
    <x:col min="5" max="5" width="14" hidden="0" customWidth="1"/>
    <x:col min="7" max="7" width="22" hidden="0" customWidth="1"/>
    <x:col min="8" max="8" width="14" hidden="0" customWidth="1"/>
  </x:cols>
  <x:sheetData>
    <x:row r="1" ht="16.799999237060547" hidden="0" customHeight="1">
      <x:c r="A1" s="5" t="str">
        <x:v>Resumen analítico de la matriz legal</x:v>
      </x:c>
    </x:row>
    <x:row r="2"/>
    <x:row r="3" ht="15" hidden="0" customHeight="1">
      <x:c r="A3" s="19" t="str">
        <x:v>Indicador</x:v>
      </x:c>
      <x:c r="B3" s="19" t="str">
        <x:v>Valor</x:v>
      </x:c>
      <x:c r="D3" s="19" t="str">
        <x:v>Tipo documento</x:v>
      </x:c>
      <x:c r="E3" s="19" t="str">
        <x:v>Conteo</x:v>
      </x:c>
      <x:c r="G3" s="19" t="str">
        <x:v>Estado resumen</x:v>
      </x:c>
      <x:c r="H3" s="19" t="str">
        <x:v>Conteo</x:v>
      </x:c>
    </x:row>
    <x:row r="4" ht="15" hidden="0" customHeight="1">
      <x:c r="A4" s="24" t="str">
        <x:v>Total registros normativos</x:v>
      </x:c>
      <x:c r="B4" s="26" t="n">
        <x:f>COUNTA(Matriz_Legal_SGRL!A5:A60)</x:f>
        <x:v>56</x:v>
      </x:c>
      <x:c r="D4" s="26" t="str">
        <x:v>Ley</x:v>
      </x:c>
      <x:c r="E4" s="26" t="n">
        <x:f>COUNTIF(Matriz_Legal_SGRL!B5:B60,D4)</x:f>
        <x:v>13</x:v>
      </x:c>
      <x:c r="G4" s="26" t="str">
        <x:v>Vigente</x:v>
      </x:c>
      <x:c r="H4" s="26" t="n">
        <x:f>COUNTIF(Matriz_Legal_SGRL!I5:I60,"*Vigente*")</x:f>
        <x:v>0</x:v>
      </x:c>
    </x:row>
    <x:row r="5" ht="15" hidden="0" customHeight="1">
      <x:c r="A5" s="24" t="str">
        <x:v>Normas con estado vigente</x:v>
      </x:c>
      <x:c r="B5" s="26" t="n">
        <x:f>COUNTIF(Matriz_Legal_SGRL!I5:I60,"*Vigente*")</x:f>
        <x:v>0</x:v>
      </x:c>
      <x:c r="D5" s="26" t="str">
        <x:v>Decreto</x:v>
      </x:c>
      <x:c r="E5" s="26" t="n">
        <x:f>COUNTIF(Matriz_Legal_SGRL!B5:B60,D5)</x:f>
        <x:v>21</x:v>
      </x:c>
      <x:c r="G5" s="26" t="str">
        <x:v>Derogada</x:v>
      </x:c>
      <x:c r="H5" s="26" t="n">
        <x:f>COUNTIF(Matriz_Legal_SGRL!I5:I60,"*Derogada*")</x:f>
        <x:v>0</x:v>
      </x:c>
    </x:row>
    <x:row r="6" ht="15" hidden="0" customHeight="1">
      <x:c r="A6" s="24" t="str">
        <x:v>Normas derogadas</x:v>
      </x:c>
      <x:c r="B6" s="26" t="n">
        <x:f>COUNTIF(Matriz_Legal_SGRL!I5:I60,"*Derogada*")</x:f>
        <x:v>0</x:v>
      </x:c>
      <x:c r="D6" s="26" t="str">
        <x:v>Decreto Ley</x:v>
      </x:c>
      <x:c r="E6" s="26" t="n">
        <x:f>COUNTIF(Matriz_Legal_SGRL!B5:B60,D6)</x:f>
        <x:v>2</x:v>
      </x:c>
      <x:c r="G6" s="26" t="str">
        <x:v>Histórica</x:v>
      </x:c>
      <x:c r="H6" s="26" t="n">
        <x:f>COUNTIF(Matriz_Legal_SGRL!I5:I60,"*Histórica*")</x:f>
        <x:v>0</x:v>
      </x:c>
    </x:row>
    <x:row r="7" ht="15" hidden="0" customHeight="1">
      <x:c r="A7" s="24" t="str">
        <x:v>Normas históricas / compiladas</x:v>
      </x:c>
      <x:c r="B7" s="26" t="n">
        <x:f>COUNTIF(Matriz_Legal_SGRL!I5:I60,"*Histórica*")</x:f>
        <x:v>0</x:v>
      </x:c>
      <x:c r="D7" s="26" t="str">
        <x:v>Resolución</x:v>
      </x:c>
      <x:c r="E7" s="26" t="n">
        <x:f>COUNTIF(Matriz_Legal_SGRL!B5:B60,D7)</x:f>
        <x:v>20</x:v>
      </x:c>
      <x:c r="G7" s="26" t="str">
        <x:v>Referencia</x:v>
      </x:c>
      <x:c r="H7" s="26" t="n">
        <x:f>COUNTIF(Matriz_Legal_SGRL!I5:I60,"*Referencia*")</x:f>
        <x:v>0</x:v>
      </x:c>
    </x:row>
    <x:row r="8" ht="15" hidden="0" customHeight="1">
      <x:c r="A8" s="24" t="str">
        <x:v>Normas que aplican (sí)</x:v>
      </x:c>
      <x:c r="B8" s="26" t="n">
        <x:f>COUNTIF(Matriz_Legal_SGRL!J5:J60,"Sí")</x:f>
        <x:v>31</x:v>
      </x:c>
      <x:c r="D8" s="26" t="str">
        <x:v>Circular</x:v>
      </x:c>
      <x:c r="E8" s="26" t="n">
        <x:f>COUNTIF(Matriz_Legal_SGRL!B5:B60,D8)</x:f>
        <x:v>0</x:v>
      </x:c>
    </x:row>
    <x:row r="9" ht="15" hidden="0" customHeight="1">
      <x:c r="A9" s="24" t="str">
        <x:v>Normas pendientes de evaluar</x:v>
      </x:c>
      <x:c r="B9" s="26" t="n">
        <x:f>COUNTIF(Matriz_Legal_SGRL!K5:K60,"Pendiente de evaluar")</x:f>
        <x:v>56</x:v>
      </x:c>
      <x:c r="D9" s="26" t="str">
        <x:v>Guía/Plan</x:v>
      </x:c>
      <x:c r="E9" s="26" t="n">
        <x:f>COUNTIF(Matriz_Legal_SGRL!B5:B60,D9)</x:f>
        <x:v>0</x:v>
      </x:c>
    </x:row>
    <x:row r="10" ht="15" hidden="0" customHeight="1">
      <x:c r="D10" s="26" t="str">
        <x:v>Otro</x:v>
      </x:c>
      <x:c r="E10" s="26" t="n">
        <x:f>COUNTIF(Matriz_Legal_SGRL!B5:B60,D10)</x:f>
        <x:v>0</x:v>
      </x:c>
    </x:row>
    <x:row r="11"/>
    <x:row r="12"/>
    <x:row r="13" ht="15" hidden="0" customHeight="1">
      <x:c r="D13" s="19" t="str">
        <x:v>Año</x:v>
      </x:c>
      <x:c r="E13" s="19" t="str">
        <x:v>Conteo</x:v>
      </x:c>
    </x:row>
    <x:row r="14" ht="15" hidden="0" customHeight="1">
      <x:c r="D14" s="26" t="n">
        <x:v>1979</x:v>
      </x:c>
      <x:c r="E14" s="26" t="n">
        <x:f>COUNTIF(Matriz_Legal_SGRL!D5:D60,D14)</x:f>
        <x:v>3</x:v>
      </x:c>
    </x:row>
    <x:row r="15" ht="15" hidden="0" customHeight="1">
      <x:c r="D15" s="26" t="n">
        <x:v>1984</x:v>
      </x:c>
      <x:c r="E15" s="26" t="n">
        <x:f>COUNTIF(Matriz_Legal_SGRL!D5:D60,D15)</x:f>
        <x:v>1</x:v>
      </x:c>
    </x:row>
    <x:row r="16" ht="15" hidden="0" customHeight="1">
      <x:c r="D16" s="26" t="n">
        <x:v>1986</x:v>
      </x:c>
      <x:c r="E16" s="26" t="n">
        <x:f>COUNTIF(Matriz_Legal_SGRL!D5:D60,D16)</x:f>
        <x:v>1</x:v>
      </x:c>
    </x:row>
    <x:row r="17" ht="15" hidden="0" customHeight="1">
      <x:c r="D17" s="26" t="n">
        <x:v>1989</x:v>
      </x:c>
      <x:c r="E17" s="26" t="n">
        <x:f>COUNTIF(Matriz_Legal_SGRL!D5:D60,D17)</x:f>
        <x:v>1</x:v>
      </x:c>
    </x:row>
    <x:row r="18" ht="15" hidden="0" customHeight="1">
      <x:c r="D18" s="26" t="n">
        <x:v>1993</x:v>
      </x:c>
      <x:c r="E18" s="26" t="n">
        <x:f>COUNTIF(Matriz_Legal_SGRL!D5:D60,D18)</x:f>
        <x:v>1</x:v>
      </x:c>
    </x:row>
    <x:row r="19" ht="15" hidden="0" customHeight="1">
      <x:c r="D19" s="26" t="n">
        <x:v>1994</x:v>
      </x:c>
      <x:c r="E19" s="26" t="n">
        <x:f>COUNTIF(Matriz_Legal_SGRL!D5:D60,D19)</x:f>
        <x:v>4</x:v>
      </x:c>
    </x:row>
    <x:row r="20" ht="15" hidden="0" customHeight="1">
      <x:c r="D20" s="26" t="n">
        <x:v>1996</x:v>
      </x:c>
      <x:c r="E20" s="26" t="n">
        <x:f>COUNTIF(Matriz_Legal_SGRL!D5:D60,D20)</x:f>
        <x:v>1</x:v>
      </x:c>
    </x:row>
    <x:row r="21" ht="15" hidden="0" customHeight="1">
      <x:c r="D21" s="26" t="n">
        <x:v>1997</x:v>
      </x:c>
      <x:c r="E21" s="26" t="n">
        <x:f>COUNTIF(Matriz_Legal_SGRL!D5:D60,D21)</x:f>
        <x:v>1</x:v>
      </x:c>
    </x:row>
    <x:row r="22" ht="15" hidden="0" customHeight="1">
      <x:c r="D22" s="26" t="n">
        <x:v>2002</x:v>
      </x:c>
      <x:c r="E22" s="26" t="n">
        <x:f>COUNTIF(Matriz_Legal_SGRL!D5:D60,D22)</x:f>
        <x:v>2</x:v>
      </x:c>
    </x:row>
    <x:row r="23" ht="15" hidden="0" customHeight="1">
      <x:c r="D23" s="26" t="n">
        <x:v>2003</x:v>
      </x:c>
      <x:c r="E23" s="26" t="n">
        <x:f>COUNTIF(Matriz_Legal_SGRL!D5:D60,D23)</x:f>
        <x:v>1</x:v>
      </x:c>
    </x:row>
    <x:row r="24" ht="15" hidden="0" customHeight="1">
      <x:c r="D24" s="26" t="n">
        <x:v>2006</x:v>
      </x:c>
      <x:c r="E24" s="26" t="n">
        <x:f>COUNTIF(Matriz_Legal_SGRL!D5:D60,D24)</x:f>
        <x:v>1</x:v>
      </x:c>
    </x:row>
    <x:row r="25" ht="15" hidden="0" customHeight="1">
      <x:c r="D25" s="26" t="n">
        <x:v>2007</x:v>
      </x:c>
      <x:c r="E25" s="26" t="n">
        <x:f>COUNTIF(Matriz_Legal_SGRL!D5:D60,D25)</x:f>
        <x:v>2</x:v>
      </x:c>
    </x:row>
    <x:row r="26" ht="15" hidden="0" customHeight="1">
      <x:c r="D26" s="26" t="n">
        <x:v>2008</x:v>
      </x:c>
      <x:c r="E26" s="26" t="n">
        <x:f>COUNTIF(Matriz_Legal_SGRL!D5:D60,D26)</x:f>
        <x:v>2</x:v>
      </x:c>
    </x:row>
    <x:row r="27" ht="15" hidden="0" customHeight="1">
      <x:c r="D27" s="26" t="n">
        <x:v>2009</x:v>
      </x:c>
      <x:c r="E27" s="26" t="n">
        <x:f>COUNTIF(Matriz_Legal_SGRL!D5:D60,D27)</x:f>
        <x:v>2</x:v>
      </x:c>
    </x:row>
    <x:row r="28" ht="15" hidden="0" customHeight="1">
      <x:c r="D28" s="26" t="n">
        <x:v>2012</x:v>
      </x:c>
      <x:c r="E28" s="26" t="n">
        <x:f>COUNTIF(Matriz_Legal_SGRL!D5:D60,D28)</x:f>
        <x:v>4</x:v>
      </x:c>
    </x:row>
    <x:row r="29" ht="15" hidden="0" customHeight="1">
      <x:c r="D29" s="26" t="n">
        <x:v>2013</x:v>
      </x:c>
      <x:c r="E29" s="26" t="n">
        <x:f>COUNTIF(Matriz_Legal_SGRL!D5:D60,D29)</x:f>
        <x:v>2</x:v>
      </x:c>
    </x:row>
    <x:row r="30" ht="15" hidden="0" customHeight="1">
      <x:c r="D30" s="26" t="n">
        <x:v>2014</x:v>
      </x:c>
      <x:c r="E30" s="26" t="n">
        <x:f>COUNTIF(Matriz_Legal_SGRL!D5:D60,D30)</x:f>
        <x:v>3</x:v>
      </x:c>
    </x:row>
    <x:row r="31" ht="15" hidden="0" customHeight="1">
      <x:c r="D31" s="26" t="n">
        <x:v>2015</x:v>
      </x:c>
      <x:c r="E31" s="26" t="n">
        <x:f>COUNTIF(Matriz_Legal_SGRL!D5:D60,D31)</x:f>
        <x:v>2</x:v>
      </x:c>
    </x:row>
    <x:row r="32" ht="15" hidden="0" customHeight="1">
      <x:c r="D32" s="26" t="n">
        <x:v>2017</x:v>
      </x:c>
      <x:c r="E32" s="26" t="n">
        <x:f>COUNTIF(Matriz_Legal_SGRL!D5:D60,D32)</x:f>
        <x:v>1</x:v>
      </x:c>
    </x:row>
    <x:row r="33" ht="15" hidden="0" customHeight="1">
      <x:c r="D33" s="26" t="n">
        <x:v>2019</x:v>
      </x:c>
      <x:c r="E33" s="26" t="n">
        <x:f>COUNTIF(Matriz_Legal_SGRL!D5:D60,D33)</x:f>
        <x:v>2</x:v>
      </x:c>
    </x:row>
    <x:row r="34" ht="15" hidden="0" customHeight="1">
      <x:c r="D34" s="26" t="n">
        <x:v>2021</x:v>
      </x:c>
      <x:c r="E34" s="26" t="n">
        <x:f>COUNTIF(Matriz_Legal_SGRL!D5:D60,D34)</x:f>
        <x:v>4</x:v>
      </x:c>
    </x:row>
    <x:row r="35" ht="15" hidden="0" customHeight="1">
      <x:c r="D35" s="26" t="n">
        <x:v>2022</x:v>
      </x:c>
      <x:c r="E35" s="26" t="n">
        <x:f>COUNTIF(Matriz_Legal_SGRL!D5:D60,D35)</x:f>
        <x:v>6</x:v>
      </x:c>
    </x:row>
    <x:row r="36" ht="15" hidden="0" customHeight="1">
      <x:c r="D36" s="26" t="n">
        <x:v>2024</x:v>
      </x:c>
      <x:c r="E36" s="26" t="n">
        <x:f>COUNTIF(Matriz_Legal_SGRL!D5:D60,D36)</x:f>
        <x:v>2</x:v>
      </x:c>
    </x:row>
    <x:row r="37" ht="15" hidden="0" customHeight="1">
      <x:c r="D37" s="26" t="n">
        <x:v>2025</x:v>
      </x:c>
      <x:c r="E37" s="26" t="n">
        <x:f>COUNTIF(Matriz_Legal_SGRL!D5:D60,D37)</x:f>
        <x:v>7</x:v>
      </x:c>
    </x:row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2" hidden="0" customWidth="1"/>
    <x:col min="4" max="4" width="2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16.799999237060547" hidden="0" customHeight="1">
      <x:c r="A1" s="5" t="str">
        <x:v>Dashboard — Matriz Legal SST / SGRL</x:v>
      </x:c>
    </x:row>
    <x:row r="2"/>
    <x:row r="3" ht="15" hidden="0" customHeight="1">
      <x:c r="A3" s="42" t="str">
        <x:v>Total normas</x:v>
      </x:c>
      <x:c r="D3" s="42" t="str">
        <x:v>Vigentes</x:v>
      </x:c>
      <x:c r="G3" s="42" t="str">
        <x:v>Derogadas</x:v>
      </x:c>
    </x:row>
    <x:row r="4"/>
    <x:row r="5" ht="16.799999237060547" hidden="0" customHeight="1">
      <x:c r="A5" s="50" t="n">
        <x:f>Resumen!B4</x:f>
        <x:v>56</x:v>
      </x:c>
      <x:c r="D5" s="50" t="n">
        <x:f>Resumen!B5</x:f>
        <x:v>0</x:v>
      </x:c>
      <x:c r="G5" s="50" t="n">
        <x:f>Resumen!B6</x:f>
        <x:v>0</x:v>
      </x:c>
    </x:row>
    <x:row r="6"/>
    <x:row r="7"/>
    <x:row r="8" ht="120" hidden="0" customHeight="1">
      <x:c r="A8" s="12" t="str">
        <x:v>La matriz está precargada con cumplimiento 'Pendiente de evaluar' para facilitar la valoración empresa por empresa. Use la hoja 'Matriz_Legal_SGRL' para personalizar aplicabilidad, cumplimiento, evidencias y responsables.</x:v>
      </x:c>
    </x:row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 ht="15" hidden="0" customHeight="1">
      <x:c r="A26" s="19" t="str">
        <x:v>Prioridad de gestión</x:v>
      </x:c>
      <x:c r="B26" s="19" t="str">
        <x:v>Criterio sugerido</x:v>
      </x:c>
      <x:c r="C26" s="19" t="str">
        <x:v>Acción</x:v>
      </x:c>
      <x:c r="D26" s="19" t="str">
        <x:v>Responsable</x:v>
      </x:c>
    </x:row>
    <x:row r="27" ht="39.599998474121094" hidden="0" customHeight="1">
      <x:c r="A27" s="24" t="str">
        <x:v>Alta</x:v>
      </x:c>
      <x:c r="B27" s="24" t="str">
        <x:v>Norma vigente + aplica a la empresa + cumplimiento No/Parcial</x:v>
      </x:c>
      <x:c r="C27" s="24" t="str">
        <x:v>Cerrar brecha, definir responsable y fecha.</x:v>
      </x:c>
      <x:c r="D27" s="24" t="str">
        <x:v>SST / Proceso dueño</x:v>
      </x:c>
    </x:row>
    <x:row r="28" ht="26.399999618530273" hidden="0" customHeight="1">
      <x:c r="A28" s="24" t="str">
        <x:v>Media</x:v>
      </x:c>
      <x:c r="B28" s="24" t="str">
        <x:v>Norma vigente + aplica Depende + sin análisis</x:v>
      </x:c>
      <x:c r="C28" s="24" t="str">
        <x:v>Confirmar aplicabilidad jurídica/técnica.</x:v>
      </x:c>
      <x:c r="D28" s="24" t="str">
        <x:v>SST / Jurídica</x:v>
      </x:c>
    </x:row>
    <x:row r="29" ht="26.399999618530273" hidden="0" customHeight="1">
      <x:c r="A29" s="24" t="str">
        <x:v>Baja</x:v>
      </x:c>
      <x:c r="B29" s="24" t="str">
        <x:v>Norma histórica/derogada</x:v>
      </x:c>
      <x:c r="C29" s="24" t="str">
        <x:v>Conservar como antecedente y actualizar referencia vigente.</x:v>
      </x:c>
      <x:c r="D29" s="24" t="str">
        <x:v>SST</x:v>
      </x:c>
    </x:row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J1"/>
    <x:mergeCell ref="A3:B4"/>
    <x:mergeCell ref="A5:B6"/>
    <x:mergeCell ref="D3:E4"/>
    <x:mergeCell ref="D5:E6"/>
    <x:mergeCell ref="G3:H4"/>
    <x:mergeCell ref="G5:H6"/>
    <x:mergeCell ref="A8:H8"/>
  </x:mergeCells>
  <x:pageMargins left="0.7" right="0.7" top="0.75" bottom="0.75" header="0.3" footer="0.3"/>
  <x:drawing xmlns:r="http://schemas.openxmlformats.org/officeDocument/2006/relationships" r:id="Rc6efd54da0264754"/>
</x:worksheet>
</file>